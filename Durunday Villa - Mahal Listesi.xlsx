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l Bilgiler" sheetId="1" state="visible" r:id="rId1"/>
    <sheet xmlns:r="http://schemas.openxmlformats.org/officeDocument/2006/relationships" name="Mahal Programı" sheetId="2" state="visible" r:id="rId2"/>
    <sheet xmlns:r="http://schemas.openxmlformats.org/officeDocument/2006/relationships" name="Mahal Listesi" sheetId="3" state="visible" r:id="rId3"/>
    <sheet xmlns:r="http://schemas.openxmlformats.org/officeDocument/2006/relationships" name="İmalat Tanımları" sheetId="4" state="visible" r:id="rId4"/>
    <sheet xmlns:r="http://schemas.openxmlformats.org/officeDocument/2006/relationships" name="Yönetmelik Uygunluk" sheetId="5" state="visible" r:id="rId5"/>
  </sheets>
  <definedNames>
    <definedName name="_xlnm.Print_Titles" localSheetId="1">'Mahal Programı'!$3:$3</definedName>
    <definedName name="_xlnm.Print_Titles" localSheetId="2">'Mahal Listesi'!$4:$4</definedName>
    <definedName name="_xlnm.Print_Titles" localSheetId="3">'İmalat Tanımları'!$3:$3</definedName>
    <definedName name="_xlnm.Print_Titles" localSheetId="4">'Yönetmelik Uygunluk'!$3:$3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i val="1"/>
      <color rgb="00404040"/>
      <sz val="9"/>
    </font>
    <font>
      <name val="Arial"/>
      <b val="1"/>
      <sz val="9"/>
    </font>
    <font>
      <name val="Arial"/>
      <sz val="9"/>
    </font>
    <font>
      <name val="Arial"/>
      <b val="1"/>
      <color rgb="001F3864"/>
      <sz val="9"/>
    </font>
    <font>
      <name val="Arial"/>
      <color rgb="00404040"/>
      <sz val="8"/>
    </font>
    <font>
      <name val="Arial"/>
      <b val="1"/>
      <color rgb="00FFFFFF"/>
      <sz val="10"/>
    </font>
    <font>
      <name val="Arial"/>
      <color rgb="001F3864"/>
      <sz val="10"/>
    </font>
    <font>
      <name val="Arial"/>
      <b val="1"/>
      <color rgb="00006100"/>
      <sz val="10"/>
    </font>
    <font>
      <name val="Arial"/>
      <b val="1"/>
      <color rgb="009C65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vertical="center" wrapText="1" indent="1"/>
    </xf>
    <xf numFmtId="0" fontId="6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vertical="center" wrapText="1" indent="1"/>
    </xf>
    <xf numFmtId="0" fontId="7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indent="1"/>
    </xf>
    <xf numFmtId="0" fontId="8" fillId="6" borderId="1" applyAlignment="1" pivotButton="0" quotePrefix="0" xfId="0">
      <alignment horizontal="left" vertical="center" indent="1"/>
    </xf>
    <xf numFmtId="164" fontId="8" fillId="6" borderId="1" applyAlignment="1" pivotButton="0" quotePrefix="0" xfId="0">
      <alignment horizontal="center" vertical="center" indent="1"/>
    </xf>
    <xf numFmtId="0" fontId="3" fillId="2" borderId="1" applyAlignment="1" pivotButton="0" quotePrefix="0" xfId="0">
      <alignment horizontal="center" vertical="center" indent="1"/>
    </xf>
    <xf numFmtId="0" fontId="3" fillId="2" borderId="1" applyAlignment="1" pivotButton="0" quotePrefix="0" xfId="0">
      <alignment horizontal="left" vertical="center" indent="1"/>
    </xf>
    <xf numFmtId="164" fontId="3" fillId="2" borderId="1" applyAlignment="1" pivotButton="0" quotePrefix="0" xfId="0">
      <alignment horizontal="center" vertical="center" indent="1"/>
    </xf>
    <xf numFmtId="0" fontId="9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 indent="1"/>
    </xf>
    <xf numFmtId="164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13" fillId="0" borderId="1" applyAlignment="1" pivotButton="0" quotePrefix="0" xfId="0">
      <alignment horizontal="left" vertical="center" wrapText="1" indent="1"/>
    </xf>
    <xf numFmtId="0" fontId="14" fillId="2" borderId="1" applyAlignment="1" pivotButton="0" quotePrefix="0" xfId="0">
      <alignment horizontal="center" vertical="center" indent="1"/>
    </xf>
    <xf numFmtId="0" fontId="14" fillId="2" borderId="1" applyAlignment="1" pivotButton="0" quotePrefix="0" xfId="0">
      <alignment horizontal="left" vertical="center" indent="1"/>
    </xf>
    <xf numFmtId="164" fontId="14" fillId="2" borderId="1" applyAlignment="1" pivotButton="0" quotePrefix="0" xfId="0">
      <alignment horizontal="center" vertical="center" indent="1"/>
    </xf>
    <xf numFmtId="0" fontId="8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 indent="1"/>
    </xf>
    <xf numFmtId="0" fontId="16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62" customWidth="1" min="2" max="2"/>
    <col width="46" customWidth="1" min="3" max="3"/>
  </cols>
  <sheetData>
    <row r="1" ht="31.5" customHeight="1">
      <c r="A1" s="1" t="inlineStr">
        <is>
          <t>MAHAL LİSTESİ, İMALAT TARİFİ VE MARKA SEÇİMLERİ</t>
        </is>
      </c>
    </row>
    <row r="2">
      <c r="A2" s="2" t="inlineStr">
        <is>
          <t>Durunday Villa — Konya / Meram / Durunday · Bodrumlu dubleks villa</t>
        </is>
      </c>
    </row>
    <row r="4" ht="20" customHeight="1">
      <c r="A4" s="3" t="inlineStr">
        <is>
          <t>PROJE VE İMAR KÜNYESİ</t>
        </is>
      </c>
    </row>
    <row r="5" ht="22" customHeight="1">
      <c r="A5" s="4" t="inlineStr">
        <is>
          <t>Yeri</t>
        </is>
      </c>
      <c r="B5" s="5" t="inlineStr">
        <is>
          <t>Konya, Meram ilçesi, Durunday mahallesi</t>
        </is>
      </c>
      <c r="C5" s="6" t="n"/>
    </row>
    <row r="6" ht="22" customHeight="1">
      <c r="A6" s="4" t="inlineStr">
        <is>
          <t>Yapı türü</t>
        </is>
      </c>
      <c r="B6" s="5" t="inlineStr">
        <is>
          <t>Ayrık nizam, tek aileli müstakil villa (dubleks)</t>
        </is>
      </c>
      <c r="C6" s="6" t="n"/>
    </row>
    <row r="7" ht="22" customHeight="1">
      <c r="A7" s="4" t="inlineStr">
        <is>
          <t>Parsel alanı</t>
        </is>
      </c>
      <c r="B7" s="5" t="inlineStr">
        <is>
          <t>1001 m² (26.00 × 38.50 m — varsayım)</t>
        </is>
      </c>
      <c r="C7" s="6" t="n"/>
    </row>
    <row r="8" ht="22" customHeight="1">
      <c r="A8" s="4" t="inlineStr">
        <is>
          <t>TAKS / KAKS</t>
        </is>
      </c>
      <c r="B8" s="5" t="inlineStr">
        <is>
          <t>0.30 / 0.60  →  taban 300 m², emsal 601 m²</t>
        </is>
      </c>
      <c r="C8" s="6" t="n"/>
    </row>
    <row r="9" ht="22" customHeight="1">
      <c r="A9" s="4" t="inlineStr">
        <is>
          <t>Çekme mesafeleri</t>
        </is>
      </c>
      <c r="B9" s="5" t="inlineStr">
        <is>
          <t>ön 5.0 m · yan 3.0 m · arka 3.0 m</t>
        </is>
      </c>
      <c r="C9" s="6" t="n"/>
    </row>
    <row r="10" ht="22" customHeight="1">
      <c r="A10" s="4" t="inlineStr">
        <is>
          <t>Bina oturumu</t>
        </is>
      </c>
      <c r="B10" s="5" t="inlineStr">
        <is>
          <t>20.00 × 15.00 m = 300 m²</t>
        </is>
      </c>
      <c r="C10" s="6" t="n"/>
    </row>
    <row r="11" ht="22" customHeight="1">
      <c r="A11" s="4" t="inlineStr">
        <is>
          <t>Kat adedi</t>
        </is>
      </c>
      <c r="B11" s="5" t="inlineStr">
        <is>
          <t>Bodrum + Zemin + 1. Normal kat (dubleks) + çatı arası</t>
        </is>
      </c>
      <c r="C11" s="6" t="n"/>
    </row>
    <row r="12" ht="22" customHeight="1">
      <c r="A12" s="4" t="inlineStr">
        <is>
          <t>Kat yükseklikleri</t>
        </is>
      </c>
      <c r="B12" s="5" t="inlineStr">
        <is>
          <t>Bodrum 2.90 m (net 2.55 m) · Zemin 3.20 m (net 2.85 m) · 1. Kat 3.10 m (net 2.75 m)</t>
        </is>
      </c>
      <c r="C12" s="6" t="n"/>
    </row>
    <row r="13" ht="22" customHeight="1">
      <c r="A13" s="4" t="inlineStr">
        <is>
          <t>Toplam brüt inşaat alanı</t>
        </is>
      </c>
      <c r="B13" s="5" t="inlineStr">
        <is>
          <t>900 m² (3 kat × 300 m²)</t>
        </is>
      </c>
      <c r="C13" s="6" t="n"/>
    </row>
    <row r="14" ht="22" customHeight="1">
      <c r="A14" s="4" t="inlineStr">
        <is>
          <t>Toplam net alan</t>
        </is>
      </c>
      <c r="B14" s="5" t="inlineStr">
        <is>
          <t>747.5 m² kapalı + 68.5 m² açık teras/balkon</t>
        </is>
      </c>
      <c r="C14" s="6" t="n"/>
    </row>
    <row r="15" ht="22" customHeight="1">
      <c r="A15" s="4" t="inlineStr">
        <is>
          <t>Kalite segmenti</t>
        </is>
      </c>
      <c r="B15" s="5" t="inlineStr">
        <is>
          <t>Üst segment / lüks konut</t>
        </is>
      </c>
      <c r="C15" s="6" t="n"/>
    </row>
    <row r="16" ht="22" customHeight="1">
      <c r="A16" s="4" t="inlineStr">
        <is>
          <t>Belge tarihi / revizyon</t>
        </is>
      </c>
      <c r="B16" s="5" t="inlineStr">
        <is>
          <t>19.09.2026 · R01 (çizimlerle birlikte)</t>
        </is>
      </c>
      <c r="C16" s="6" t="n"/>
    </row>
    <row r="18" ht="20" customHeight="1">
      <c r="A18" s="3" t="inlineStr">
        <is>
          <t>GENEL YAPIM TANIMLARI VE MARKA SEÇİMLERİ</t>
        </is>
      </c>
    </row>
    <row r="19" ht="30" customHeight="1">
      <c r="A19" s="7" t="inlineStr">
        <is>
          <t>İmalat</t>
        </is>
      </c>
      <c r="B19" s="7" t="inlineStr">
        <is>
          <t>Teknik tanım</t>
        </is>
      </c>
      <c r="C19" s="7" t="inlineStr">
        <is>
          <t>Marka / ürün seçimi</t>
        </is>
      </c>
    </row>
    <row r="20" ht="46" customHeight="1">
      <c r="A20" s="8" t="inlineStr">
        <is>
          <t>Taşıyıcı sistem</t>
        </is>
      </c>
      <c r="B20" s="9" t="inlineStr">
        <is>
          <t>Radye temel + betonarme perde/kolon-kiriş; TBDY-2018'e göre tasarım, C30/37 beton, B420C donatı.</t>
        </is>
      </c>
      <c r="C20" s="9" t="inlineStr">
        <is>
          <t>Hazır beton: Konya bölgesi TSE belgeli tesis · donatı İçdaş / Kardemir</t>
        </is>
      </c>
    </row>
    <row r="21" ht="46" customHeight="1">
      <c r="A21" s="8" t="inlineStr">
        <is>
          <t>Bodrum su yalıtımı</t>
        </is>
      </c>
      <c r="B21" s="9" t="inlineStr">
        <is>
          <t>Bitümlü membran (çift kat) + drenaj levhası + çakıl dolgulu Ø150 drenaj borusu, temel altı 10 cm grobeton üzeri yalıtım.</t>
        </is>
      </c>
      <c r="C21" s="9" t="inlineStr">
        <is>
          <t>Membran Sika veya BTM · drenaj levhası Onduline / Izobu</t>
        </is>
      </c>
    </row>
    <row r="22" ht="46" customHeight="1">
      <c r="A22" s="8" t="inlineStr">
        <is>
          <t>Dış duvar</t>
        </is>
      </c>
      <c r="B22" s="9" t="inlineStr">
        <is>
          <t>19 cm gaz beton veya tuğla + 8 cm XPS mantolama (λ ≤ 0,033) + kaplama. TS 825 3. bölge şartını sağlar.</t>
        </is>
      </c>
      <c r="C22" s="9" t="inlineStr">
        <is>
          <t>XPS Dow Styrofoam veya Austrotherm · sistem Baumit openSystem ya da Weber therm</t>
        </is>
      </c>
    </row>
    <row r="23" ht="46" customHeight="1">
      <c r="A23" s="8" t="inlineStr">
        <is>
          <t>Dış cephe kaplaması</t>
        </is>
      </c>
      <c r="B23" s="9" t="inlineStr">
        <is>
          <t>Doğal taş (traverten/andezit) + ısı yalıtım sıvası, antrasit alüminyum denizlik ve damlalık profilleri.</t>
        </is>
      </c>
      <c r="C23" s="9" t="inlineStr">
        <is>
          <t>Taş: bölge ocakları (Afyon/Burdur/Nevşehir) · profil Asaş</t>
        </is>
      </c>
    </row>
    <row r="24" ht="46" customHeight="1">
      <c r="A24" s="8" t="inlineStr">
        <is>
          <t>Çatı</t>
        </is>
      </c>
      <c r="B24" s="9" t="inlineStr">
        <is>
          <t>Kırma çatı, ahşap karkas; 14 cm taşyünü, su yalıtım örtüsü, nefes alan membran, kilitli kiremit, alüminyum oluk.</t>
        </is>
      </c>
      <c r="C24" s="9" t="inlineStr">
        <is>
          <t>Kiremit Kılıçoğlu veya Toprak Seramik · taşyünü İzocam · membran Dörken Delta</t>
        </is>
      </c>
    </row>
    <row r="25" ht="46" customHeight="1">
      <c r="A25" s="8" t="inlineStr">
        <is>
          <t>Teras / balkon su yalıtımı</t>
        </is>
      </c>
      <c r="B25" s="9" t="inlineStr">
        <is>
          <t>Çift kat poliüretan esaslı su yalıtımı + ısı yalıtımı + şap, don dayanımlı kaplama, çizgisel drenaj.</t>
        </is>
      </c>
      <c r="C25" s="9" t="inlineStr">
        <is>
          <t>Sika Sikalastic veya BASF MasterSeal · drenaj ACO</t>
        </is>
      </c>
    </row>
    <row r="26" ht="46" customHeight="1">
      <c r="A26" s="8" t="inlineStr">
        <is>
          <t>Islak hacim su yalıtımı</t>
        </is>
      </c>
      <c r="B26" s="9" t="inlineStr">
        <is>
          <t>Duvarda 200 cm, döşemede tam alan çimento esaslı çift bileşenli yalıtım, köşelerde bandaj.</t>
        </is>
      </c>
      <c r="C26" s="9" t="inlineStr">
        <is>
          <t>Kalekim Su Yalıtım 2K veya Weber Tec 822 · bandaj Kalekim</t>
        </is>
      </c>
    </row>
    <row r="27" ht="46" customHeight="1">
      <c r="A27" s="8" t="inlineStr">
        <is>
          <t>Asansör</t>
        </is>
      </c>
      <c r="B27" s="9" t="inlineStr">
        <is>
          <t>4 duraklı (bodrum-zemin-1.kat-çatı arası), 4–6 kişilik, makine dairesiz, kuyu su yalıtımlı.</t>
        </is>
      </c>
      <c r="C27" s="9" t="inlineStr">
        <is>
          <t>Schindler 3300 veya Kone MonoSpace 500</t>
        </is>
      </c>
    </row>
    <row r="28" ht="46" customHeight="1">
      <c r="A28" s="8" t="inlineStr">
        <is>
          <t>Peyzaj / dış alanlar</t>
        </is>
      </c>
      <c r="B28" s="9" t="inlineStr">
        <is>
          <t>Otomatik damlama + rotorlu sulama, bahçe aydınlatması, doğal taş yürüme yolu, çim ve bitkilendirme, otomatik bahçe kapısı.</t>
        </is>
      </c>
      <c r="C28" s="9" t="inlineStr">
        <is>
          <t>Sulama Hunter / Rain Bird · kapı otomasyonu Nice veya Came</t>
        </is>
      </c>
    </row>
    <row r="29" ht="46" customHeight="1">
      <c r="A29" s="8" t="inlineStr">
        <is>
          <t>Güvenlik</t>
        </is>
      </c>
      <c r="B29" s="9" t="inlineStr">
        <is>
          <t>Alarm, çevre ve iç mekan IP kamera, görüntülü diyafon, bahçe kapısı otomasyonu.</t>
        </is>
      </c>
      <c r="C29" s="9" t="inlineStr">
        <is>
          <t>Alarm Paradox · kamera Hikvision · diyafon Comelit</t>
        </is>
      </c>
    </row>
    <row r="31" ht="20" customHeight="1">
      <c r="A31" s="3" t="inlineStr">
        <is>
          <t>VARSAYIMLAR VE UYARILAR</t>
        </is>
      </c>
    </row>
    <row r="32" ht="30" customHeight="1">
      <c r="A32" s="10" t="inlineStr">
        <is>
          <t>•  Çizimler ön tasarım (avan) niteliğindedir; uygulama projesi, statik-mekanik-elektrik projeleri ve ruhsat için yetkili proje müellifi onayı gerekir.</t>
        </is>
      </c>
    </row>
    <row r="33" ht="30" customHeight="1">
      <c r="A33" s="10" t="inlineStr">
        <is>
          <t>•  Parsel ölçüleri, TAKS/KAKS, çekme mesafesi ve kat adedi Meram Belediyesi imar durumu belgesiyle teyit edilmelidir.</t>
        </is>
      </c>
    </row>
    <row r="34" ht="30" customHeight="1">
      <c r="A34" s="10" t="inlineStr">
        <is>
          <t>•  Mahal alanları duvar aksı geometrisinden net (duvar içi) olarak hesaplanmıştır; uygulamada ±%2 sapma olabilir.</t>
        </is>
      </c>
    </row>
    <row r="35" ht="30" customHeight="1">
      <c r="A35" s="10" t="inlineStr">
        <is>
          <t>•  Piyes ölçüleri Planlı Alanlar İmar Yönetmeliği Madde 29 asgari değerleriyle karşılaştırılmıştır (bkz. Yönetmelik Uygunluk sayfası).</t>
        </is>
      </c>
    </row>
    <row r="36" ht="30" customHeight="1">
      <c r="A36" s="10" t="inlineStr">
        <is>
          <t>•  Konya TS 825'e göre 3. iklim bölgesindedir; yalıtım kalınlıkları buna göre verilmiştir. Deprem hesabı TBDY-2018'e göre yapılacaktır.</t>
        </is>
      </c>
    </row>
    <row r="37" ht="30" customHeight="1">
      <c r="A37" s="10" t="inlineStr">
        <is>
          <t>•  Marka seçimleri üst segment için örnek niteliğindedir; teklif aşamasında eşdeğer ürünler önerilebilir.</t>
        </is>
      </c>
    </row>
  </sheetData>
  <mergeCells count="23">
    <mergeCell ref="B16:C16"/>
    <mergeCell ref="B7:C7"/>
    <mergeCell ref="A37:C37"/>
    <mergeCell ref="A18:C18"/>
    <mergeCell ref="A2:C2"/>
    <mergeCell ref="B12:C12"/>
    <mergeCell ref="A33:C33"/>
    <mergeCell ref="B11:C11"/>
    <mergeCell ref="A32:C32"/>
    <mergeCell ref="B14:C14"/>
    <mergeCell ref="A35:C35"/>
    <mergeCell ref="A4:C4"/>
    <mergeCell ref="B8:C8"/>
    <mergeCell ref="B13:C13"/>
    <mergeCell ref="A31:C31"/>
    <mergeCell ref="B10:C10"/>
    <mergeCell ref="A34:C34"/>
    <mergeCell ref="B9:C9"/>
    <mergeCell ref="B6:C6"/>
    <mergeCell ref="A36:C36"/>
    <mergeCell ref="B15:C15"/>
    <mergeCell ref="A1:C1"/>
    <mergeCell ref="B5:C5"/>
  </mergeCell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4" customWidth="1" min="3" max="3"/>
    <col width="12" customWidth="1" min="4" max="4"/>
    <col width="12" customWidth="1" min="5" max="5"/>
    <col width="16" customWidth="1" min="6" max="6"/>
    <col width="30" customWidth="1" min="7" max="7"/>
  </cols>
  <sheetData>
    <row r="1" ht="29.4" customHeight="1">
      <c r="A1" s="11" t="inlineStr">
        <is>
          <t>MAHAL PROGRAMI — ALAN TABLOSU</t>
        </is>
      </c>
    </row>
    <row r="3" ht="30" customHeight="1">
      <c r="A3" s="7" t="inlineStr">
        <is>
          <t>Mahal No</t>
        </is>
      </c>
      <c r="B3" s="7" t="inlineStr">
        <is>
          <t>Mahal Adı</t>
        </is>
      </c>
      <c r="C3" s="7" t="inlineStr">
        <is>
          <t>Net Alan (m²)</t>
        </is>
      </c>
      <c r="D3" s="7" t="inlineStr">
        <is>
          <t>Dar Kenar (m)</t>
        </is>
      </c>
      <c r="E3" s="7" t="inlineStr">
        <is>
          <t>Uzun Kenar (m)</t>
        </is>
      </c>
      <c r="F3" s="7" t="inlineStr">
        <is>
          <t>Tip</t>
        </is>
      </c>
      <c r="G3" s="7" t="inlineStr">
        <is>
          <t>Açıklama</t>
        </is>
      </c>
    </row>
    <row r="4" ht="20" customHeight="1">
      <c r="A4" s="3" t="inlineStr">
        <is>
          <t>BODRUM KAT</t>
        </is>
      </c>
    </row>
    <row r="5" ht="18" customHeight="1">
      <c r="A5" s="12" t="inlineStr">
        <is>
          <t>B-01</t>
        </is>
      </c>
      <c r="B5" s="8" t="inlineStr">
        <is>
          <t>Garaj (3 araçlık)</t>
        </is>
      </c>
      <c r="C5" s="13" t="n">
        <v>48</v>
      </c>
      <c r="D5" s="14" t="n">
        <v>5.75</v>
      </c>
      <c r="E5" s="14" t="n">
        <v>8.35</v>
      </c>
      <c r="F5" s="14" t="inlineStr">
        <is>
          <t>teknik</t>
        </is>
      </c>
      <c r="G5" s="9" t="inlineStr"/>
    </row>
    <row r="6" ht="18" customHeight="1">
      <c r="A6" s="12" t="inlineStr">
        <is>
          <t>B-02</t>
        </is>
      </c>
      <c r="B6" s="8" t="inlineStr">
        <is>
          <t>Hobi ve oyun salonu</t>
        </is>
      </c>
      <c r="C6" s="13" t="n">
        <v>43.8</v>
      </c>
      <c r="D6" s="14" t="n">
        <v>5.25</v>
      </c>
      <c r="E6" s="14" t="n">
        <v>8.35</v>
      </c>
      <c r="F6" s="14" t="inlineStr">
        <is>
          <t>yasam</t>
        </is>
      </c>
      <c r="G6" s="9" t="inlineStr"/>
    </row>
    <row r="7" ht="18" customHeight="1">
      <c r="A7" s="12" t="inlineStr">
        <is>
          <t>B-03</t>
        </is>
      </c>
      <c r="B7" s="8" t="inlineStr">
        <is>
          <t>Ev sineması</t>
        </is>
      </c>
      <c r="C7" s="13" t="n">
        <v>28</v>
      </c>
      <c r="D7" s="14" t="n">
        <v>3.35</v>
      </c>
      <c r="E7" s="14" t="n">
        <v>8.35</v>
      </c>
      <c r="F7" s="14" t="inlineStr">
        <is>
          <t>yasam</t>
        </is>
      </c>
      <c r="G7" s="9" t="inlineStr"/>
    </row>
    <row r="8" ht="18" customHeight="1">
      <c r="A8" s="12" t="inlineStr">
        <is>
          <t>B-04</t>
        </is>
      </c>
      <c r="B8" s="8" t="inlineStr">
        <is>
          <t>Kazan dairesi / teknik hacim</t>
        </is>
      </c>
      <c r="C8" s="13" t="n">
        <v>11.5</v>
      </c>
      <c r="D8" s="14" t="n">
        <v>3.25</v>
      </c>
      <c r="E8" s="14" t="n">
        <v>3.55</v>
      </c>
      <c r="F8" s="14" t="inlineStr">
        <is>
          <t>teknik</t>
        </is>
      </c>
      <c r="G8" s="9" t="inlineStr"/>
    </row>
    <row r="9" ht="18" customHeight="1">
      <c r="A9" s="12" t="inlineStr">
        <is>
          <t>B-05</t>
        </is>
      </c>
      <c r="B9" s="8" t="inlineStr">
        <is>
          <t>Merdiven ve hol</t>
        </is>
      </c>
      <c r="C9" s="13" t="n">
        <v>17.7</v>
      </c>
      <c r="D9" s="14" t="n">
        <v>3.25</v>
      </c>
      <c r="E9" s="14" t="n">
        <v>5.45</v>
      </c>
      <c r="F9" s="14" t="inlineStr">
        <is>
          <t>sirkulasyon</t>
        </is>
      </c>
      <c r="G9" s="9" t="inlineStr"/>
    </row>
    <row r="10" ht="18" customHeight="1">
      <c r="A10" s="12" t="inlineStr">
        <is>
          <t>B-06</t>
        </is>
      </c>
      <c r="B10" s="8" t="inlineStr">
        <is>
          <t>Çamaşırhane ve ütü odası</t>
        </is>
      </c>
      <c r="C10" s="13" t="n">
        <v>6</v>
      </c>
      <c r="D10" s="14" t="n">
        <v>1.85</v>
      </c>
      <c r="E10" s="14" t="n">
        <v>3.25</v>
      </c>
      <c r="F10" s="14" t="inlineStr">
        <is>
          <t>islak</t>
        </is>
      </c>
      <c r="G10" s="9" t="inlineStr"/>
    </row>
    <row r="11" ht="18" customHeight="1">
      <c r="A11" s="12" t="inlineStr">
        <is>
          <t>B-07</t>
        </is>
      </c>
      <c r="B11" s="8" t="inlineStr">
        <is>
          <t>Depo</t>
        </is>
      </c>
      <c r="C11" s="13" t="n">
        <v>4.7</v>
      </c>
      <c r="D11" s="14" t="n">
        <v>1.45</v>
      </c>
      <c r="E11" s="14" t="n">
        <v>3.25</v>
      </c>
      <c r="F11" s="14" t="inlineStr">
        <is>
          <t>teknik</t>
        </is>
      </c>
      <c r="G11" s="9" t="inlineStr"/>
    </row>
    <row r="12" ht="18" customHeight="1">
      <c r="A12" s="12" t="inlineStr">
        <is>
          <t>B-08</t>
        </is>
      </c>
      <c r="B12" s="8" t="inlineStr">
        <is>
          <t>Kiler / soğuk oda</t>
        </is>
      </c>
      <c r="C12" s="13" t="n">
        <v>5.7</v>
      </c>
      <c r="D12" s="14" t="n">
        <v>1.75</v>
      </c>
      <c r="E12" s="14" t="n">
        <v>3.25</v>
      </c>
      <c r="F12" s="14" t="inlineStr">
        <is>
          <t>teknik</t>
        </is>
      </c>
      <c r="G12" s="9" t="inlineStr"/>
    </row>
    <row r="13" ht="18" customHeight="1">
      <c r="A13" s="12" t="inlineStr">
        <is>
          <t>B-09</t>
        </is>
      </c>
      <c r="B13" s="8" t="inlineStr">
        <is>
          <t>Su deposu ve hidrofor</t>
        </is>
      </c>
      <c r="C13" s="13" t="n">
        <v>5.8</v>
      </c>
      <c r="D13" s="14" t="n">
        <v>2.35</v>
      </c>
      <c r="E13" s="14" t="n">
        <v>2.45</v>
      </c>
      <c r="F13" s="14" t="inlineStr">
        <is>
          <t>teknik</t>
        </is>
      </c>
      <c r="G13" s="9" t="inlineStr"/>
    </row>
    <row r="14" ht="18" customHeight="1">
      <c r="A14" s="12" t="inlineStr">
        <is>
          <t>B-10</t>
        </is>
      </c>
      <c r="B14" s="8" t="inlineStr">
        <is>
          <t>Elektrik panosu / depo</t>
        </is>
      </c>
      <c r="C14" s="13" t="n">
        <v>2.6</v>
      </c>
      <c r="D14" s="14" t="n">
        <v>1.05</v>
      </c>
      <c r="E14" s="14" t="n">
        <v>2.45</v>
      </c>
      <c r="F14" s="14" t="inlineStr">
        <is>
          <t>teknik</t>
        </is>
      </c>
      <c r="G14" s="9" t="inlineStr"/>
    </row>
    <row r="15" ht="18" customHeight="1">
      <c r="A15" s="12" t="inlineStr">
        <is>
          <t>B-11</t>
        </is>
      </c>
      <c r="B15" s="8" t="inlineStr">
        <is>
          <t>Asansör ve tesisat şaftı</t>
        </is>
      </c>
      <c r="C15" s="13" t="n">
        <v>5</v>
      </c>
      <c r="D15" s="14" t="n">
        <v>2.05</v>
      </c>
      <c r="E15" s="14" t="n">
        <v>2.45</v>
      </c>
      <c r="F15" s="14" t="inlineStr">
        <is>
          <t>teknik</t>
        </is>
      </c>
      <c r="G15" s="9" t="inlineStr"/>
    </row>
    <row r="16" ht="18" customHeight="1">
      <c r="A16" s="12" t="inlineStr">
        <is>
          <t>B-12</t>
        </is>
      </c>
      <c r="B16" s="8" t="inlineStr">
        <is>
          <t>WC + duş</t>
        </is>
      </c>
      <c r="C16" s="13" t="n">
        <v>4</v>
      </c>
      <c r="D16" s="14" t="n">
        <v>1.65</v>
      </c>
      <c r="E16" s="14" t="n">
        <v>2.45</v>
      </c>
      <c r="F16" s="14" t="inlineStr">
        <is>
          <t>islak</t>
        </is>
      </c>
      <c r="G16" s="9" t="inlineStr"/>
    </row>
    <row r="17" ht="18" customHeight="1">
      <c r="A17" s="12" t="inlineStr">
        <is>
          <t>B-13</t>
        </is>
      </c>
      <c r="B17" s="8" t="inlineStr">
        <is>
          <t>Koridor</t>
        </is>
      </c>
      <c r="C17" s="13" t="n">
        <v>3.6</v>
      </c>
      <c r="D17" s="14" t="n">
        <v>1.45</v>
      </c>
      <c r="E17" s="14" t="n">
        <v>2.45</v>
      </c>
      <c r="F17" s="14" t="inlineStr">
        <is>
          <t>sirkulasyon</t>
        </is>
      </c>
      <c r="G17" s="9" t="inlineStr"/>
    </row>
    <row r="18" ht="18" customHeight="1">
      <c r="A18" s="12" t="inlineStr">
        <is>
          <t>B-14</t>
        </is>
      </c>
      <c r="B18" s="8" t="inlineStr">
        <is>
          <t>Şarap mahzeni ve bar</t>
        </is>
      </c>
      <c r="C18" s="13" t="n">
        <v>13.1</v>
      </c>
      <c r="D18" s="14" t="n">
        <v>2.45</v>
      </c>
      <c r="E18" s="14" t="n">
        <v>5.35</v>
      </c>
      <c r="F18" s="14" t="inlineStr">
        <is>
          <t>ikincil</t>
        </is>
      </c>
      <c r="G18" s="9" t="inlineStr"/>
    </row>
    <row r="19" ht="18" customHeight="1">
      <c r="A19" s="12" t="inlineStr">
        <is>
          <t>B-15</t>
        </is>
      </c>
      <c r="B19" s="8" t="inlineStr">
        <is>
          <t>Spor salonu (fitness)</t>
        </is>
      </c>
      <c r="C19" s="13" t="n">
        <v>18.3</v>
      </c>
      <c r="D19" s="14" t="n">
        <v>3.55</v>
      </c>
      <c r="E19" s="14" t="n">
        <v>5.15</v>
      </c>
      <c r="F19" s="14" t="inlineStr">
        <is>
          <t>yasam</t>
        </is>
      </c>
      <c r="G19" s="9" t="inlineStr"/>
    </row>
    <row r="20" ht="18" customHeight="1">
      <c r="A20" s="12" t="inlineStr">
        <is>
          <t>B-16</t>
        </is>
      </c>
      <c r="B20" s="8" t="inlineStr">
        <is>
          <t>Sauna ve dinlenme</t>
        </is>
      </c>
      <c r="C20" s="13" t="n">
        <v>10.4</v>
      </c>
      <c r="D20" s="14" t="n">
        <v>2.85</v>
      </c>
      <c r="E20" s="14" t="n">
        <v>3.65</v>
      </c>
      <c r="F20" s="14" t="inlineStr">
        <is>
          <t>islak</t>
        </is>
      </c>
      <c r="G20" s="9" t="inlineStr"/>
    </row>
    <row r="21" ht="18" customHeight="1">
      <c r="A21" s="12" t="inlineStr">
        <is>
          <t>B-17</t>
        </is>
      </c>
      <c r="B21" s="8" t="inlineStr">
        <is>
          <t>Soyunma ve duş</t>
        </is>
      </c>
      <c r="C21" s="13" t="n">
        <v>7.8</v>
      </c>
      <c r="D21" s="14" t="n">
        <v>2.15</v>
      </c>
      <c r="E21" s="14" t="n">
        <v>3.65</v>
      </c>
      <c r="F21" s="14" t="inlineStr">
        <is>
          <t>islak</t>
        </is>
      </c>
      <c r="G21" s="9" t="inlineStr"/>
    </row>
    <row r="22" ht="18" customHeight="1">
      <c r="A22" s="12" t="inlineStr">
        <is>
          <t>B-18</t>
        </is>
      </c>
      <c r="B22" s="8" t="inlineStr">
        <is>
          <t>Hizmet / misafir odası</t>
        </is>
      </c>
      <c r="C22" s="13" t="n">
        <v>10.4</v>
      </c>
      <c r="D22" s="14" t="n">
        <v>2.85</v>
      </c>
      <c r="E22" s="14" t="n">
        <v>3.65</v>
      </c>
      <c r="F22" s="14" t="inlineStr">
        <is>
          <t>yatak</t>
        </is>
      </c>
      <c r="G22" s="9" t="inlineStr"/>
    </row>
    <row r="23" ht="18" customHeight="1">
      <c r="A23" s="12" t="inlineStr">
        <is>
          <t>B-19</t>
        </is>
      </c>
      <c r="B23" s="8" t="inlineStr">
        <is>
          <t>Hizmet banyosu</t>
        </is>
      </c>
      <c r="C23" s="13" t="n">
        <v>4.8</v>
      </c>
      <c r="D23" s="14" t="n">
        <v>2.15</v>
      </c>
      <c r="E23" s="14" t="n">
        <v>2.25</v>
      </c>
      <c r="F23" s="14" t="inlineStr">
        <is>
          <t>islak</t>
        </is>
      </c>
      <c r="G23" s="9" t="inlineStr"/>
    </row>
    <row r="24" ht="18" customHeight="1">
      <c r="A24" s="12" t="inlineStr">
        <is>
          <t>B-20</t>
        </is>
      </c>
      <c r="B24" s="8" t="inlineStr">
        <is>
          <t>Temizlik deposu</t>
        </is>
      </c>
      <c r="C24" s="13" t="n">
        <v>2.7</v>
      </c>
      <c r="D24" s="14" t="n">
        <v>1.25</v>
      </c>
      <c r="E24" s="14" t="n">
        <v>2.15</v>
      </c>
      <c r="F24" s="14" t="inlineStr">
        <is>
          <t>teknik</t>
        </is>
      </c>
      <c r="G24" s="9" t="inlineStr"/>
    </row>
    <row r="25" ht="18" customHeight="1">
      <c r="A25" s="12" t="inlineStr">
        <is>
          <t>B-21</t>
        </is>
      </c>
      <c r="B25" s="8" t="inlineStr">
        <is>
          <t>Işıklık / İngiliz bahçesi</t>
        </is>
      </c>
      <c r="C25" s="13" t="n">
        <v>17.3</v>
      </c>
      <c r="D25" s="14" t="n">
        <v>3.35</v>
      </c>
      <c r="E25" s="14" t="n">
        <v>5.15</v>
      </c>
      <c r="F25" s="14" t="inlineStr">
        <is>
          <t>acik</t>
        </is>
      </c>
      <c r="G25" s="9" t="inlineStr">
        <is>
          <t>Açık alan — kapalı alana dahil değil</t>
        </is>
      </c>
    </row>
    <row r="26">
      <c r="A26" s="15" t="n"/>
      <c r="B26" s="16" t="inlineStr">
        <is>
          <t>Bodrum — TOPLAM</t>
        </is>
      </c>
      <c r="C26" s="17">
        <f>SUM(C5:C25)</f>
        <v/>
      </c>
      <c r="D26" s="15" t="n"/>
      <c r="E26" s="15" t="n"/>
      <c r="F26" s="15" t="n"/>
      <c r="G26" s="16" t="n"/>
    </row>
    <row r="28" ht="20" customHeight="1">
      <c r="A28" s="3" t="inlineStr">
        <is>
          <t>ZEMIN KAT</t>
        </is>
      </c>
    </row>
    <row r="29" ht="18" customHeight="1">
      <c r="A29" s="12" t="inlineStr">
        <is>
          <t>Z-01</t>
        </is>
      </c>
      <c r="B29" s="8" t="inlineStr">
        <is>
          <t>Salon / oturma alanı</t>
        </is>
      </c>
      <c r="C29" s="13" t="n">
        <v>61.4</v>
      </c>
      <c r="D29" s="14" t="n">
        <v>7.35</v>
      </c>
      <c r="E29" s="14" t="n">
        <v>8.35</v>
      </c>
      <c r="F29" s="14" t="inlineStr">
        <is>
          <t>yasam</t>
        </is>
      </c>
      <c r="G29" s="9" t="inlineStr"/>
    </row>
    <row r="30" ht="18" customHeight="1">
      <c r="A30" s="12" t="inlineStr">
        <is>
          <t>Z-02</t>
        </is>
      </c>
      <c r="B30" s="8" t="inlineStr">
        <is>
          <t>Yemek alanı</t>
        </is>
      </c>
      <c r="C30" s="13" t="n">
        <v>30.5</v>
      </c>
      <c r="D30" s="14" t="n">
        <v>3.65</v>
      </c>
      <c r="E30" s="14" t="n">
        <v>8.35</v>
      </c>
      <c r="F30" s="14" t="inlineStr">
        <is>
          <t>yasam</t>
        </is>
      </c>
      <c r="G30" s="9" t="inlineStr"/>
    </row>
    <row r="31" ht="18" customHeight="1">
      <c r="A31" s="12" t="inlineStr">
        <is>
          <t>Z-03</t>
        </is>
      </c>
      <c r="B31" s="8" t="inlineStr">
        <is>
          <t>Kapalı veranda</t>
        </is>
      </c>
      <c r="C31" s="13" t="n">
        <v>28</v>
      </c>
      <c r="D31" s="14" t="n">
        <v>3.35</v>
      </c>
      <c r="E31" s="14" t="n">
        <v>8.35</v>
      </c>
      <c r="F31" s="14" t="inlineStr">
        <is>
          <t>yasam</t>
        </is>
      </c>
      <c r="G31" s="9" t="inlineStr"/>
    </row>
    <row r="32" ht="18" customHeight="1">
      <c r="A32" s="12" t="inlineStr">
        <is>
          <t>Z-04</t>
        </is>
      </c>
      <c r="B32" s="8" t="inlineStr">
        <is>
          <t>Antre / giriş holü</t>
        </is>
      </c>
      <c r="C32" s="13" t="n">
        <v>11.5</v>
      </c>
      <c r="D32" s="14" t="n">
        <v>3.25</v>
      </c>
      <c r="E32" s="14" t="n">
        <v>3.55</v>
      </c>
      <c r="F32" s="14" t="inlineStr">
        <is>
          <t>sirkulasyon</t>
        </is>
      </c>
      <c r="G32" s="9" t="inlineStr"/>
    </row>
    <row r="33" ht="18" customHeight="1">
      <c r="A33" s="12" t="inlineStr">
        <is>
          <t>Z-05</t>
        </is>
      </c>
      <c r="B33" s="8" t="inlineStr">
        <is>
          <t>Merdiven, hol ve galeri</t>
        </is>
      </c>
      <c r="C33" s="13" t="n">
        <v>17.7</v>
      </c>
      <c r="D33" s="14" t="n">
        <v>3.25</v>
      </c>
      <c r="E33" s="14" t="n">
        <v>5.45</v>
      </c>
      <c r="F33" s="14" t="inlineStr">
        <is>
          <t>sirkulasyon</t>
        </is>
      </c>
      <c r="G33" s="9" t="inlineStr"/>
    </row>
    <row r="34" ht="18" customHeight="1">
      <c r="A34" s="12" t="inlineStr">
        <is>
          <t>Z-06</t>
        </is>
      </c>
      <c r="B34" s="8" t="inlineStr">
        <is>
          <t>Mutfak (ankastre)</t>
        </is>
      </c>
      <c r="C34" s="13" t="n">
        <v>20.2</v>
      </c>
      <c r="D34" s="14" t="n">
        <v>3.45</v>
      </c>
      <c r="E34" s="14" t="n">
        <v>5.85</v>
      </c>
      <c r="F34" s="14" t="inlineStr">
        <is>
          <t>mutfak</t>
        </is>
      </c>
      <c r="G34" s="9" t="inlineStr"/>
    </row>
    <row r="35" ht="18" customHeight="1">
      <c r="A35" s="12" t="inlineStr">
        <is>
          <t>Z-07</t>
        </is>
      </c>
      <c r="B35" s="8" t="inlineStr">
        <is>
          <t>Kiler / arka mutfak</t>
        </is>
      </c>
      <c r="C35" s="13" t="n">
        <v>10.2</v>
      </c>
      <c r="D35" s="14" t="n">
        <v>1.75</v>
      </c>
      <c r="E35" s="14" t="n">
        <v>5.85</v>
      </c>
      <c r="F35" s="14" t="inlineStr">
        <is>
          <t>mutfak</t>
        </is>
      </c>
      <c r="G35" s="9" t="inlineStr"/>
    </row>
    <row r="36" ht="18" customHeight="1">
      <c r="A36" s="12" t="inlineStr">
        <is>
          <t>Z-08</t>
        </is>
      </c>
      <c r="B36" s="8" t="inlineStr">
        <is>
          <t>Misafir WC</t>
        </is>
      </c>
      <c r="C36" s="13" t="n">
        <v>5.8</v>
      </c>
      <c r="D36" s="14" t="n">
        <v>2.35</v>
      </c>
      <c r="E36" s="14" t="n">
        <v>2.45</v>
      </c>
      <c r="F36" s="14" t="inlineStr">
        <is>
          <t>islak</t>
        </is>
      </c>
      <c r="G36" s="9" t="inlineStr"/>
    </row>
    <row r="37" ht="18" customHeight="1">
      <c r="A37" s="12" t="inlineStr">
        <is>
          <t>Z-09</t>
        </is>
      </c>
      <c r="B37" s="8" t="inlineStr">
        <is>
          <t>Vestiyer</t>
        </is>
      </c>
      <c r="C37" s="13" t="n">
        <v>2.6</v>
      </c>
      <c r="D37" s="14" t="n">
        <v>1.05</v>
      </c>
      <c r="E37" s="14" t="n">
        <v>2.45</v>
      </c>
      <c r="F37" s="14" t="inlineStr">
        <is>
          <t>teknik</t>
        </is>
      </c>
      <c r="G37" s="9" t="inlineStr"/>
    </row>
    <row r="38" ht="18" customHeight="1">
      <c r="A38" s="12" t="inlineStr">
        <is>
          <t>Z-10</t>
        </is>
      </c>
      <c r="B38" s="8" t="inlineStr">
        <is>
          <t>Asansör ve tesisat şaftı</t>
        </is>
      </c>
      <c r="C38" s="13" t="n">
        <v>5</v>
      </c>
      <c r="D38" s="14" t="n">
        <v>2.05</v>
      </c>
      <c r="E38" s="14" t="n">
        <v>2.45</v>
      </c>
      <c r="F38" s="14" t="inlineStr">
        <is>
          <t>teknik</t>
        </is>
      </c>
      <c r="G38" s="9" t="inlineStr"/>
    </row>
    <row r="39" ht="18" customHeight="1">
      <c r="A39" s="12" t="inlineStr">
        <is>
          <t>Z-11</t>
        </is>
      </c>
      <c r="B39" s="8" t="inlineStr">
        <is>
          <t>Koridor</t>
        </is>
      </c>
      <c r="C39" s="13" t="n">
        <v>8</v>
      </c>
      <c r="D39" s="14" t="n">
        <v>2.45</v>
      </c>
      <c r="E39" s="14" t="n">
        <v>3.25</v>
      </c>
      <c r="F39" s="14" t="inlineStr">
        <is>
          <t>sirkulasyon</t>
        </is>
      </c>
      <c r="G39" s="9" t="inlineStr"/>
    </row>
    <row r="40" ht="18" customHeight="1">
      <c r="A40" s="12" t="inlineStr">
        <is>
          <t>Z-12</t>
        </is>
      </c>
      <c r="B40" s="8" t="inlineStr">
        <is>
          <t>Misafir yatak odası (süit)</t>
        </is>
      </c>
      <c r="C40" s="13" t="n">
        <v>18.3</v>
      </c>
      <c r="D40" s="14" t="n">
        <v>3.55</v>
      </c>
      <c r="E40" s="14" t="n">
        <v>5.15</v>
      </c>
      <c r="F40" s="14" t="inlineStr">
        <is>
          <t>yatak</t>
        </is>
      </c>
      <c r="G40" s="9" t="inlineStr"/>
    </row>
    <row r="41" ht="18" customHeight="1">
      <c r="A41" s="12" t="inlineStr">
        <is>
          <t>Z-13</t>
        </is>
      </c>
      <c r="B41" s="8" t="inlineStr">
        <is>
          <t>Misafir banyosu</t>
        </is>
      </c>
      <c r="C41" s="13" t="n">
        <v>5.8</v>
      </c>
      <c r="D41" s="14" t="n">
        <v>2.05</v>
      </c>
      <c r="E41" s="14" t="n">
        <v>2.85</v>
      </c>
      <c r="F41" s="14" t="inlineStr">
        <is>
          <t>islak</t>
        </is>
      </c>
      <c r="G41" s="9" t="inlineStr"/>
    </row>
    <row r="42" ht="18" customHeight="1">
      <c r="A42" s="12" t="inlineStr">
        <is>
          <t>Z-14</t>
        </is>
      </c>
      <c r="B42" s="8" t="inlineStr">
        <is>
          <t>Misafir giyinme odası</t>
        </is>
      </c>
      <c r="C42" s="13" t="n">
        <v>4.4</v>
      </c>
      <c r="D42" s="14" t="n">
        <v>2.05</v>
      </c>
      <c r="E42" s="14" t="n">
        <v>2.15</v>
      </c>
      <c r="F42" s="14" t="inlineStr">
        <is>
          <t>teknik</t>
        </is>
      </c>
      <c r="G42" s="9" t="inlineStr"/>
    </row>
    <row r="43" ht="18" customHeight="1">
      <c r="A43" s="12" t="inlineStr">
        <is>
          <t>Z-15</t>
        </is>
      </c>
      <c r="B43" s="8" t="inlineStr">
        <is>
          <t>Çalışma odası / ofis</t>
        </is>
      </c>
      <c r="C43" s="13" t="n">
        <v>16.7</v>
      </c>
      <c r="D43" s="14" t="n">
        <v>3.25</v>
      </c>
      <c r="E43" s="14" t="n">
        <v>5.15</v>
      </c>
      <c r="F43" s="14" t="inlineStr">
        <is>
          <t>yasam</t>
        </is>
      </c>
      <c r="G43" s="9" t="inlineStr"/>
    </row>
    <row r="44" ht="18" customHeight="1">
      <c r="A44" s="12" t="inlineStr">
        <is>
          <t>Z-16</t>
        </is>
      </c>
      <c r="B44" s="8" t="inlineStr">
        <is>
          <t>Üstü örtülü teras (barbekü)</t>
        </is>
      </c>
      <c r="C44" s="13" t="n">
        <v>27.6</v>
      </c>
      <c r="D44" s="14" t="n">
        <v>5.15</v>
      </c>
      <c r="E44" s="14" t="n">
        <v>5.35</v>
      </c>
      <c r="F44" s="14" t="inlineStr">
        <is>
          <t>acik</t>
        </is>
      </c>
      <c r="G44" s="9" t="inlineStr">
        <is>
          <t>Açık alan — kapalı alana dahil değil</t>
        </is>
      </c>
    </row>
    <row r="45">
      <c r="A45" s="15" t="n"/>
      <c r="B45" s="16" t="inlineStr">
        <is>
          <t>Zemin — TOPLAM</t>
        </is>
      </c>
      <c r="C45" s="17">
        <f>SUM(C29:C44)</f>
        <v/>
      </c>
      <c r="D45" s="15" t="n"/>
      <c r="E45" s="15" t="n"/>
      <c r="F45" s="15" t="n"/>
      <c r="G45" s="16" t="n"/>
    </row>
    <row r="47" ht="20" customHeight="1">
      <c r="A47" s="3" t="inlineStr">
        <is>
          <t>1. NORMAL KAT</t>
        </is>
      </c>
    </row>
    <row r="48" ht="18" customHeight="1">
      <c r="A48" s="12" t="inlineStr">
        <is>
          <t>K-01</t>
        </is>
      </c>
      <c r="B48" s="8" t="inlineStr">
        <is>
          <t>Ebeveyn yatak odası</t>
        </is>
      </c>
      <c r="C48" s="13" t="n">
        <v>29.6</v>
      </c>
      <c r="D48" s="14" t="n">
        <v>3.55</v>
      </c>
      <c r="E48" s="14" t="n">
        <v>8.35</v>
      </c>
      <c r="F48" s="14" t="inlineStr">
        <is>
          <t>yatak</t>
        </is>
      </c>
      <c r="G48" s="9" t="inlineStr"/>
    </row>
    <row r="49" ht="18" customHeight="1">
      <c r="A49" s="12" t="inlineStr">
        <is>
          <t>K-02</t>
        </is>
      </c>
      <c r="B49" s="8" t="inlineStr">
        <is>
          <t>Ebeveyn giyinme odası</t>
        </is>
      </c>
      <c r="C49" s="13" t="n">
        <v>15.9</v>
      </c>
      <c r="D49" s="14" t="n">
        <v>3.65</v>
      </c>
      <c r="E49" s="14" t="n">
        <v>4.35</v>
      </c>
      <c r="F49" s="14" t="inlineStr">
        <is>
          <t>teknik</t>
        </is>
      </c>
      <c r="G49" s="9" t="inlineStr"/>
    </row>
    <row r="50" ht="18" customHeight="1">
      <c r="A50" s="12" t="inlineStr">
        <is>
          <t>K-03</t>
        </is>
      </c>
      <c r="B50" s="8" t="inlineStr">
        <is>
          <t>Ebeveyn banyosu</t>
        </is>
      </c>
      <c r="C50" s="13" t="n">
        <v>14.1</v>
      </c>
      <c r="D50" s="14" t="n">
        <v>3.65</v>
      </c>
      <c r="E50" s="14" t="n">
        <v>3.85</v>
      </c>
      <c r="F50" s="14" t="inlineStr">
        <is>
          <t>islak</t>
        </is>
      </c>
      <c r="G50" s="9" t="inlineStr"/>
    </row>
    <row r="51" ht="18" customHeight="1">
      <c r="A51" s="12" t="inlineStr">
        <is>
          <t>K-04</t>
        </is>
      </c>
      <c r="B51" s="8" t="inlineStr">
        <is>
          <t>Aile oturma odası / TV</t>
        </is>
      </c>
      <c r="C51" s="13" t="n">
        <v>26</v>
      </c>
      <c r="D51" s="14" t="n">
        <v>4.95</v>
      </c>
      <c r="E51" s="14" t="n">
        <v>5.25</v>
      </c>
      <c r="F51" s="14" t="inlineStr">
        <is>
          <t>yasam</t>
        </is>
      </c>
      <c r="G51" s="9" t="inlineStr"/>
    </row>
    <row r="52" ht="18" customHeight="1">
      <c r="A52" s="12" t="inlineStr">
        <is>
          <t>K-05</t>
        </is>
      </c>
      <c r="B52" s="8" t="inlineStr">
        <is>
          <t>Çalışma odası / kütüphane</t>
        </is>
      </c>
      <c r="C52" s="13" t="n">
        <v>17.1</v>
      </c>
      <c r="D52" s="14" t="n">
        <v>3.25</v>
      </c>
      <c r="E52" s="14" t="n">
        <v>5.25</v>
      </c>
      <c r="F52" s="14" t="inlineStr">
        <is>
          <t>yasam</t>
        </is>
      </c>
      <c r="G52" s="9" t="inlineStr"/>
    </row>
    <row r="53" ht="18" customHeight="1">
      <c r="A53" s="12" t="inlineStr">
        <is>
          <t>K-06</t>
        </is>
      </c>
      <c r="B53" s="8" t="inlineStr">
        <is>
          <t>Ebeveyn balkonu</t>
        </is>
      </c>
      <c r="C53" s="13" t="n">
        <v>14.6</v>
      </c>
      <c r="D53" s="14" t="n">
        <v>1.75</v>
      </c>
      <c r="E53" s="14" t="n">
        <v>8.35</v>
      </c>
      <c r="F53" s="14" t="inlineStr">
        <is>
          <t>acik</t>
        </is>
      </c>
      <c r="G53" s="9" t="inlineStr">
        <is>
          <t>Açık alan — kapalı alana dahil değil</t>
        </is>
      </c>
    </row>
    <row r="54" ht="18" customHeight="1">
      <c r="A54" s="12" t="inlineStr">
        <is>
          <t>K-07</t>
        </is>
      </c>
      <c r="B54" s="8" t="inlineStr">
        <is>
          <t>Üst hol, merdiven ve galeri</t>
        </is>
      </c>
      <c r="C54" s="13" t="n">
        <v>29.7</v>
      </c>
      <c r="D54" s="14" t="n">
        <v>3.25</v>
      </c>
      <c r="E54" s="14" t="n">
        <v>9.15</v>
      </c>
      <c r="F54" s="14" t="inlineStr">
        <is>
          <t>sirkulasyon</t>
        </is>
      </c>
      <c r="G54" s="9" t="inlineStr"/>
    </row>
    <row r="55" ht="18" customHeight="1">
      <c r="A55" s="12" t="inlineStr">
        <is>
          <t>K-08</t>
        </is>
      </c>
      <c r="B55" s="8" t="inlineStr">
        <is>
          <t>Çamaşır ve ütü nişi</t>
        </is>
      </c>
      <c r="C55" s="13" t="n">
        <v>6</v>
      </c>
      <c r="D55" s="14" t="n">
        <v>1.85</v>
      </c>
      <c r="E55" s="14" t="n">
        <v>3.25</v>
      </c>
      <c r="F55" s="14" t="inlineStr">
        <is>
          <t>islak</t>
        </is>
      </c>
      <c r="G55" s="9" t="inlineStr"/>
    </row>
    <row r="56" ht="18" customHeight="1">
      <c r="A56" s="12" t="inlineStr">
        <is>
          <t>K-09</t>
        </is>
      </c>
      <c r="B56" s="8" t="inlineStr">
        <is>
          <t>Yatak odası 4</t>
        </is>
      </c>
      <c r="C56" s="13" t="n">
        <v>19.6</v>
      </c>
      <c r="D56" s="14" t="n">
        <v>3.35</v>
      </c>
      <c r="E56" s="14" t="n">
        <v>5.85</v>
      </c>
      <c r="F56" s="14" t="inlineStr">
        <is>
          <t>yatak</t>
        </is>
      </c>
      <c r="G56" s="9" t="inlineStr"/>
    </row>
    <row r="57" ht="18" customHeight="1">
      <c r="A57" s="12" t="inlineStr">
        <is>
          <t>K-10</t>
        </is>
      </c>
      <c r="B57" s="8" t="inlineStr">
        <is>
          <t>Yatak odası 2</t>
        </is>
      </c>
      <c r="C57" s="13" t="n">
        <v>19.3</v>
      </c>
      <c r="D57" s="14" t="n">
        <v>3.55</v>
      </c>
      <c r="E57" s="14" t="n">
        <v>5.45</v>
      </c>
      <c r="F57" s="14" t="inlineStr">
        <is>
          <t>yatak</t>
        </is>
      </c>
      <c r="G57" s="9" t="inlineStr"/>
    </row>
    <row r="58" ht="18" customHeight="1">
      <c r="A58" s="12" t="inlineStr">
        <is>
          <t>K-11</t>
        </is>
      </c>
      <c r="B58" s="8" t="inlineStr">
        <is>
          <t>Yatak odası 2 banyosu</t>
        </is>
      </c>
      <c r="C58" s="13" t="n">
        <v>7.6</v>
      </c>
      <c r="D58" s="14" t="n">
        <v>2.15</v>
      </c>
      <c r="E58" s="14" t="n">
        <v>3.55</v>
      </c>
      <c r="F58" s="14" t="inlineStr">
        <is>
          <t>islak</t>
        </is>
      </c>
      <c r="G58" s="9" t="inlineStr"/>
    </row>
    <row r="59" ht="18" customHeight="1">
      <c r="A59" s="12" t="inlineStr">
        <is>
          <t>K-12</t>
        </is>
      </c>
      <c r="B59" s="8" t="inlineStr">
        <is>
          <t>Asansör ve tesisat şaftı</t>
        </is>
      </c>
      <c r="C59" s="13" t="n">
        <v>5</v>
      </c>
      <c r="D59" s="14" t="n">
        <v>2.05</v>
      </c>
      <c r="E59" s="14" t="n">
        <v>2.45</v>
      </c>
      <c r="F59" s="14" t="inlineStr">
        <is>
          <t>teknik</t>
        </is>
      </c>
      <c r="G59" s="9" t="inlineStr"/>
    </row>
    <row r="60" ht="18" customHeight="1">
      <c r="A60" s="12" t="inlineStr">
        <is>
          <t>K-13</t>
        </is>
      </c>
      <c r="B60" s="8" t="inlineStr">
        <is>
          <t>Koridor</t>
        </is>
      </c>
      <c r="C60" s="13" t="n">
        <v>3.6</v>
      </c>
      <c r="D60" s="14" t="n">
        <v>1.45</v>
      </c>
      <c r="E60" s="14" t="n">
        <v>2.45</v>
      </c>
      <c r="F60" s="14" t="inlineStr">
        <is>
          <t>sirkulasyon</t>
        </is>
      </c>
      <c r="G60" s="9" t="inlineStr"/>
    </row>
    <row r="61" ht="18" customHeight="1">
      <c r="A61" s="12" t="inlineStr">
        <is>
          <t>K-14</t>
        </is>
      </c>
      <c r="B61" s="8" t="inlineStr">
        <is>
          <t>Ortak banyo</t>
        </is>
      </c>
      <c r="C61" s="13" t="n">
        <v>8.9</v>
      </c>
      <c r="D61" s="14" t="n">
        <v>2.45</v>
      </c>
      <c r="E61" s="14" t="n">
        <v>3.65</v>
      </c>
      <c r="F61" s="14" t="inlineStr">
        <is>
          <t>islak</t>
        </is>
      </c>
      <c r="G61" s="9" t="inlineStr"/>
    </row>
    <row r="62" ht="18" customHeight="1">
      <c r="A62" s="12" t="inlineStr">
        <is>
          <t>K-15</t>
        </is>
      </c>
      <c r="B62" s="8" t="inlineStr">
        <is>
          <t>Yatak odası 3</t>
        </is>
      </c>
      <c r="C62" s="13" t="n">
        <v>18.8</v>
      </c>
      <c r="D62" s="14" t="n">
        <v>3.65</v>
      </c>
      <c r="E62" s="14" t="n">
        <v>5.15</v>
      </c>
      <c r="F62" s="14" t="inlineStr">
        <is>
          <t>yatak</t>
        </is>
      </c>
      <c r="G62" s="9" t="inlineStr"/>
    </row>
    <row r="63" ht="18" customHeight="1">
      <c r="A63" s="12" t="inlineStr">
        <is>
          <t>K-16</t>
        </is>
      </c>
      <c r="B63" s="8" t="inlineStr">
        <is>
          <t>Yatak odası 3 giyinme</t>
        </is>
      </c>
      <c r="C63" s="13" t="n">
        <v>8.5</v>
      </c>
      <c r="D63" s="14" t="n">
        <v>1.65</v>
      </c>
      <c r="E63" s="14" t="n">
        <v>5.15</v>
      </c>
      <c r="F63" s="14" t="inlineStr">
        <is>
          <t>teknik</t>
        </is>
      </c>
      <c r="G63" s="9" t="inlineStr"/>
    </row>
    <row r="64" ht="18" customHeight="1">
      <c r="A64" s="12" t="inlineStr">
        <is>
          <t>K-17</t>
        </is>
      </c>
      <c r="B64" s="8" t="inlineStr">
        <is>
          <t>Yatak odası 5</t>
        </is>
      </c>
      <c r="C64" s="13" t="n">
        <v>17.8</v>
      </c>
      <c r="D64" s="14" t="n">
        <v>3.45</v>
      </c>
      <c r="E64" s="14" t="n">
        <v>5.15</v>
      </c>
      <c r="F64" s="14" t="inlineStr">
        <is>
          <t>yatak</t>
        </is>
      </c>
      <c r="G64" s="9" t="inlineStr"/>
    </row>
    <row r="65" ht="18" customHeight="1">
      <c r="A65" s="12" t="inlineStr">
        <is>
          <t>K-18</t>
        </is>
      </c>
      <c r="B65" s="8" t="inlineStr">
        <is>
          <t>Balkon 2</t>
        </is>
      </c>
      <c r="C65" s="13" t="n">
        <v>9</v>
      </c>
      <c r="D65" s="14" t="n">
        <v>1.75</v>
      </c>
      <c r="E65" s="14" t="n">
        <v>5.15</v>
      </c>
      <c r="F65" s="14" t="inlineStr">
        <is>
          <t>acik</t>
        </is>
      </c>
      <c r="G65" s="9" t="inlineStr">
        <is>
          <t>Açık alan — kapalı alana dahil değil</t>
        </is>
      </c>
    </row>
    <row r="66">
      <c r="A66" s="15" t="n"/>
      <c r="B66" s="16" t="inlineStr">
        <is>
          <t>1. Kat — TOPLAM</t>
        </is>
      </c>
      <c r="C66" s="17">
        <f>SUM(C48:C65)</f>
        <v/>
      </c>
      <c r="D66" s="15" t="n"/>
      <c r="E66" s="15" t="n"/>
      <c r="F66" s="15" t="n"/>
      <c r="G66" s="16" t="n"/>
    </row>
    <row r="68" ht="20" customHeight="1">
      <c r="A68" s="3" t="inlineStr">
        <is>
          <t>GENEL TOPLAM</t>
        </is>
      </c>
    </row>
    <row r="69">
      <c r="A69" s="18" t="n"/>
      <c r="B69" s="19" t="inlineStr">
        <is>
          <t>Toplam net alan (kapalı + açık)</t>
        </is>
      </c>
      <c r="C69" s="20">
        <f>C26+C45+C66</f>
        <v/>
      </c>
      <c r="D69" s="18" t="n"/>
      <c r="E69" s="18" t="n"/>
      <c r="F69" s="18" t="n"/>
      <c r="G69" s="19" t="n"/>
    </row>
    <row r="70">
      <c r="A70" s="18" t="n"/>
      <c r="B70" s="19" t="inlineStr">
        <is>
          <t>Toplam brüt inşaat alanı</t>
        </is>
      </c>
      <c r="C70" s="20" t="n">
        <v>900</v>
      </c>
      <c r="D70" s="18" t="n"/>
      <c r="E70" s="18" t="n"/>
      <c r="F70" s="18" t="n"/>
      <c r="G70" s="19" t="n"/>
    </row>
    <row r="71">
      <c r="A71" s="18" t="n"/>
      <c r="B71" s="19" t="inlineStr">
        <is>
          <t>Oturum (taban) alanı</t>
        </is>
      </c>
      <c r="C71" s="20" t="n">
        <v>300</v>
      </c>
      <c r="D71" s="18" t="n"/>
      <c r="E71" s="18" t="n"/>
      <c r="F71" s="18" t="n"/>
      <c r="G71" s="19" t="n"/>
    </row>
  </sheetData>
  <mergeCells count="5">
    <mergeCell ref="A1:G1"/>
    <mergeCell ref="A4:G4"/>
    <mergeCell ref="A68:G68"/>
    <mergeCell ref="A47:G47"/>
    <mergeCell ref="A28:G28"/>
  </mergeCells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13" customWidth="1" min="4" max="4"/>
    <col width="11" customWidth="1" min="5" max="5"/>
    <col width="21" customWidth="1" min="6" max="6"/>
    <col width="12" customWidth="1" min="7" max="7"/>
    <col width="17" customWidth="1" min="8" max="8"/>
    <col width="16" customWidth="1" min="9" max="9"/>
    <col width="13" customWidth="1" min="10" max="10"/>
    <col width="17" customWidth="1" min="11" max="11"/>
    <col width="13" customWidth="1" min="12" max="12"/>
    <col width="44" customWidth="1" min="13" max="13"/>
  </cols>
  <sheetData>
    <row r="1" ht="29.4" customHeight="1">
      <c r="A1" s="11" t="inlineStr">
        <is>
          <t>MAHAL LİSTESİ — DURUNDAY VİLLA</t>
        </is>
      </c>
    </row>
    <row r="2">
      <c r="A2" s="21" t="inlineStr">
        <is>
          <t>Poz kodlarının tanımı ve marka seçimleri için «İmalat Tanımları» sayfasına bakınız.</t>
        </is>
      </c>
    </row>
    <row r="4" ht="30" customHeight="1">
      <c r="A4" s="7" t="inlineStr">
        <is>
          <t>Mahal No</t>
        </is>
      </c>
      <c r="B4" s="7" t="inlineStr">
        <is>
          <t>Mahal Adı</t>
        </is>
      </c>
      <c r="C4" s="7" t="inlineStr">
        <is>
          <t>Net Alan (m²)</t>
        </is>
      </c>
      <c r="D4" s="7" t="inlineStr">
        <is>
          <t>Döşeme</t>
        </is>
      </c>
      <c r="E4" s="7" t="inlineStr">
        <is>
          <t>Süpürgelik</t>
        </is>
      </c>
      <c r="F4" s="7" t="inlineStr">
        <is>
          <t>Duvar</t>
        </is>
      </c>
      <c r="G4" s="7" t="inlineStr">
        <is>
          <t>Tavan</t>
        </is>
      </c>
      <c r="H4" s="7" t="inlineStr">
        <is>
          <t>Kapı</t>
        </is>
      </c>
      <c r="I4" s="7" t="inlineStr">
        <is>
          <t>Doğrama / Pencere</t>
        </is>
      </c>
      <c r="J4" s="7" t="inlineStr">
        <is>
          <t>Elektrik</t>
        </is>
      </c>
      <c r="K4" s="7" t="inlineStr">
        <is>
          <t>Mekanik</t>
        </is>
      </c>
      <c r="L4" s="7" t="inlineStr">
        <is>
          <t>Sıhhi Tesisat</t>
        </is>
      </c>
      <c r="M4" s="7" t="inlineStr">
        <is>
          <t>Açıklama / Özel Notlar</t>
        </is>
      </c>
    </row>
    <row r="5" ht="20" customHeight="1">
      <c r="A5" s="3" t="inlineStr">
        <is>
          <t>BODRUM KAT</t>
        </is>
      </c>
    </row>
    <row r="6" ht="32" customHeight="1">
      <c r="A6" s="22" t="inlineStr">
        <is>
          <t>B-01</t>
        </is>
      </c>
      <c r="B6" s="23" t="inlineStr">
        <is>
          <t>Garaj (3 araçlık)</t>
        </is>
      </c>
      <c r="C6" s="24" t="n">
        <v>48</v>
      </c>
      <c r="D6" s="25" t="inlineStr">
        <is>
          <t>DK-06</t>
        </is>
      </c>
      <c r="E6" s="25" t="inlineStr">
        <is>
          <t>SP-04</t>
        </is>
      </c>
      <c r="F6" s="25" t="inlineStr">
        <is>
          <t>DV-06</t>
        </is>
      </c>
      <c r="G6" s="25" t="inlineStr">
        <is>
          <t>TV-05</t>
        </is>
      </c>
      <c r="H6" s="25" t="inlineStr">
        <is>
          <t>KP-06</t>
        </is>
      </c>
      <c r="I6" s="25" t="inlineStr">
        <is>
          <t>DG-03</t>
        </is>
      </c>
      <c r="J6" s="25" t="inlineStr">
        <is>
          <t>EL-08</t>
        </is>
      </c>
      <c r="K6" s="25" t="inlineStr">
        <is>
          <t>MK-08</t>
        </is>
      </c>
      <c r="L6" s="25" t="inlineStr">
        <is>
          <t>ST-07</t>
        </is>
      </c>
      <c r="M6" s="26" t="inlineStr">
        <is>
          <t>Zemin süzgece eğimli; elektrikli araç şarjı için 3 faz 11 kW hat. Kapı 5,00 m seksiyonel.</t>
        </is>
      </c>
    </row>
    <row r="7" ht="32" customHeight="1">
      <c r="A7" s="22" t="inlineStr">
        <is>
          <t>B-02</t>
        </is>
      </c>
      <c r="B7" s="23" t="inlineStr">
        <is>
          <t>Hobi ve oyun salonu</t>
        </is>
      </c>
      <c r="C7" s="24" t="n">
        <v>43.8</v>
      </c>
      <c r="D7" s="25" t="inlineStr">
        <is>
          <t>DK-03</t>
        </is>
      </c>
      <c r="E7" s="25" t="inlineStr">
        <is>
          <t>SP-01</t>
        </is>
      </c>
      <c r="F7" s="25" t="inlineStr">
        <is>
          <t>DV-01 + DV-04</t>
        </is>
      </c>
      <c r="G7" s="25" t="inlineStr">
        <is>
          <t>TV-01</t>
        </is>
      </c>
      <c r="H7" s="25" t="inlineStr">
        <is>
          <t>KP-02</t>
        </is>
      </c>
      <c r="I7" s="25" t="inlineStr">
        <is>
          <t>DG-01</t>
        </is>
      </c>
      <c r="J7" s="25" t="inlineStr">
        <is>
          <t>EL-04</t>
        </is>
      </c>
      <c r="K7" s="25" t="inlineStr">
        <is>
          <t>MK-01 + MK-03</t>
        </is>
      </c>
      <c r="L7" s="25" t="inlineStr">
        <is>
          <t>ST-01</t>
        </is>
      </c>
      <c r="M7" s="26" t="inlineStr">
        <is>
          <t>Mini bar için su/atık altyapısı bırakılacak (opsiyon); hol ile geniş açık geçiş.</t>
        </is>
      </c>
    </row>
    <row r="8" ht="32" customHeight="1">
      <c r="A8" s="22" t="inlineStr">
        <is>
          <t>B-03</t>
        </is>
      </c>
      <c r="B8" s="23" t="inlineStr">
        <is>
          <t>Ev sineması</t>
        </is>
      </c>
      <c r="C8" s="24" t="n">
        <v>28</v>
      </c>
      <c r="D8" s="25" t="inlineStr">
        <is>
          <t>DK-07</t>
        </is>
      </c>
      <c r="E8" s="25" t="inlineStr">
        <is>
          <t>SP-01</t>
        </is>
      </c>
      <c r="F8" s="25" t="inlineStr">
        <is>
          <t>DV-07</t>
        </is>
      </c>
      <c r="G8" s="25" t="inlineStr">
        <is>
          <t>TV-06</t>
        </is>
      </c>
      <c r="H8" s="25" t="inlineStr">
        <is>
          <t>KP-02 (ses yalıtımlı)</t>
        </is>
      </c>
      <c r="I8" s="25" t="inlineStr">
        <is>
          <t>DG-07</t>
        </is>
      </c>
      <c r="J8" s="25" t="inlineStr">
        <is>
          <t>EL-07</t>
        </is>
      </c>
      <c r="K8" s="25" t="inlineStr">
        <is>
          <t>MK-01 + MK-04</t>
        </is>
      </c>
      <c r="L8" s="25" t="inlineStr">
        <is>
          <t>ST-01</t>
        </is>
      </c>
      <c r="M8" s="26" t="inlineStr">
        <is>
          <t>Duvar ve tavanda akustik dolgu; kapı çift contalı ve eşik fitilli.</t>
        </is>
      </c>
    </row>
    <row r="9" ht="32" customHeight="1">
      <c r="A9" s="22" t="inlineStr">
        <is>
          <t>B-04</t>
        </is>
      </c>
      <c r="B9" s="23" t="inlineStr">
        <is>
          <t>Kazan dairesi / teknik hacim</t>
        </is>
      </c>
      <c r="C9" s="24" t="n">
        <v>11.5</v>
      </c>
      <c r="D9" s="25" t="inlineStr">
        <is>
          <t>DK-08</t>
        </is>
      </c>
      <c r="E9" s="25" t="inlineStr">
        <is>
          <t>SP-04</t>
        </is>
      </c>
      <c r="F9" s="25" t="inlineStr">
        <is>
          <t>DV-06</t>
        </is>
      </c>
      <c r="G9" s="25" t="inlineStr">
        <is>
          <t>TV-05</t>
        </is>
      </c>
      <c r="H9" s="25" t="inlineStr">
        <is>
          <t>KP-05</t>
        </is>
      </c>
      <c r="I9" s="25" t="inlineStr">
        <is>
          <t>DG-03</t>
        </is>
      </c>
      <c r="J9" s="25" t="inlineStr">
        <is>
          <t>EL-05</t>
        </is>
      </c>
      <c r="K9" s="25" t="inlineStr">
        <is>
          <t>MK-06</t>
        </is>
      </c>
      <c r="L9" s="25" t="inlineStr">
        <is>
          <t>ST-07</t>
        </is>
      </c>
      <c r="M9" s="26" t="inlineStr">
        <is>
          <t>Doğalgaz dedektörü + selenoid vana; taze hava menfezi yönetmelik ölçüsünde, yangın kapısı EI30.</t>
        </is>
      </c>
    </row>
    <row r="10" ht="32" customHeight="1">
      <c r="A10" s="22" t="inlineStr">
        <is>
          <t>B-05</t>
        </is>
      </c>
      <c r="B10" s="23" t="inlineStr">
        <is>
          <t>Merdiven ve hol</t>
        </is>
      </c>
      <c r="C10" s="24" t="n">
        <v>17.7</v>
      </c>
      <c r="D10" s="25" t="inlineStr">
        <is>
          <t>DK-02</t>
        </is>
      </c>
      <c r="E10" s="25" t="inlineStr">
        <is>
          <t>SP-02</t>
        </is>
      </c>
      <c r="F10" s="25" t="inlineStr">
        <is>
          <t>DV-01</t>
        </is>
      </c>
      <c r="G10" s="25" t="inlineStr">
        <is>
          <t>TV-01</t>
        </is>
      </c>
      <c r="H10" s="25" t="inlineStr">
        <is>
          <t>—</t>
        </is>
      </c>
      <c r="I10" s="25" t="inlineStr">
        <is>
          <t>DG-01</t>
        </is>
      </c>
      <c r="J10" s="25" t="inlineStr">
        <is>
          <t>EL-04</t>
        </is>
      </c>
      <c r="K10" s="25" t="inlineStr">
        <is>
          <t>MK-01</t>
        </is>
      </c>
      <c r="L10" s="25" t="inlineStr">
        <is>
          <t>ST-01</t>
        </is>
      </c>
      <c r="M10" s="26" t="inlineStr"/>
    </row>
    <row r="11" ht="32" customHeight="1">
      <c r="A11" s="22" t="inlineStr">
        <is>
          <t>B-06</t>
        </is>
      </c>
      <c r="B11" s="23" t="inlineStr">
        <is>
          <t>Çamaşırhane ve ütü odası</t>
        </is>
      </c>
      <c r="C11" s="24" t="n">
        <v>6</v>
      </c>
      <c r="D11" s="25" t="inlineStr">
        <is>
          <t>DK-04</t>
        </is>
      </c>
      <c r="E11" s="25" t="inlineStr">
        <is>
          <t>SP-05</t>
        </is>
      </c>
      <c r="F11" s="25" t="inlineStr">
        <is>
          <t>DV-02 (h=150 cm)</t>
        </is>
      </c>
      <c r="G11" s="25" t="inlineStr">
        <is>
          <t>TV-03</t>
        </is>
      </c>
      <c r="H11" s="25" t="inlineStr">
        <is>
          <t>KP-03</t>
        </is>
      </c>
      <c r="I11" s="25" t="inlineStr">
        <is>
          <t>DG-03</t>
        </is>
      </c>
      <c r="J11" s="25" t="inlineStr">
        <is>
          <t>EL-02</t>
        </is>
      </c>
      <c r="K11" s="25" t="inlineStr">
        <is>
          <t>MK-04</t>
        </is>
      </c>
      <c r="L11" s="25" t="inlineStr">
        <is>
          <t>ST-06</t>
        </is>
      </c>
      <c r="M11" s="26" t="inlineStr">
        <is>
          <t>Taşma koruma sensörü ve yer süzgeci zorunlu; tezgah altı makine yerleşimi.</t>
        </is>
      </c>
    </row>
    <row r="12" ht="32" customHeight="1">
      <c r="A12" s="22" t="inlineStr">
        <is>
          <t>B-07</t>
        </is>
      </c>
      <c r="B12" s="23" t="inlineStr">
        <is>
          <t>Depo</t>
        </is>
      </c>
      <c r="C12" s="24" t="n">
        <v>4.7</v>
      </c>
      <c r="D12" s="25" t="inlineStr">
        <is>
          <t>DK-08</t>
        </is>
      </c>
      <c r="E12" s="25" t="inlineStr">
        <is>
          <t>SP-04</t>
        </is>
      </c>
      <c r="F12" s="25" t="inlineStr">
        <is>
          <t>DV-01</t>
        </is>
      </c>
      <c r="G12" s="25" t="inlineStr">
        <is>
          <t>TV-05</t>
        </is>
      </c>
      <c r="H12" s="25" t="inlineStr">
        <is>
          <t>KP-08</t>
        </is>
      </c>
      <c r="I12" s="25" t="inlineStr">
        <is>
          <t>DG-07</t>
        </is>
      </c>
      <c r="J12" s="25" t="inlineStr">
        <is>
          <t>EL-05</t>
        </is>
      </c>
      <c r="K12" s="25" t="inlineStr">
        <is>
          <t>MK-08</t>
        </is>
      </c>
      <c r="L12" s="25" t="inlineStr">
        <is>
          <t>ST-01</t>
        </is>
      </c>
      <c r="M12" s="26" t="inlineStr">
        <is>
          <t>Duvar boyu raf altyapısı.</t>
        </is>
      </c>
    </row>
    <row r="13" ht="32" customHeight="1">
      <c r="A13" s="22" t="inlineStr">
        <is>
          <t>B-08</t>
        </is>
      </c>
      <c r="B13" s="23" t="inlineStr">
        <is>
          <t>Kiler / soğuk oda</t>
        </is>
      </c>
      <c r="C13" s="24" t="n">
        <v>5.7</v>
      </c>
      <c r="D13" s="25" t="inlineStr">
        <is>
          <t>DK-08</t>
        </is>
      </c>
      <c r="E13" s="25" t="inlineStr">
        <is>
          <t>SP-04</t>
        </is>
      </c>
      <c r="F13" s="25" t="inlineStr">
        <is>
          <t>DV-01</t>
        </is>
      </c>
      <c r="G13" s="25" t="inlineStr">
        <is>
          <t>TV-05</t>
        </is>
      </c>
      <c r="H13" s="25" t="inlineStr">
        <is>
          <t>KP-08</t>
        </is>
      </c>
      <c r="I13" s="25" t="inlineStr">
        <is>
          <t>DG-07</t>
        </is>
      </c>
      <c r="J13" s="25" t="inlineStr">
        <is>
          <t>EL-05</t>
        </is>
      </c>
      <c r="K13" s="25" t="inlineStr">
        <is>
          <t>MK-04</t>
        </is>
      </c>
      <c r="L13" s="25" t="inlineStr">
        <is>
          <t>ST-01</t>
        </is>
      </c>
      <c r="M13" s="26" t="inlineStr">
        <is>
          <t>Soğuk oda bölümü ayrı yalıtımlı, sabit havalandırmalı.</t>
        </is>
      </c>
    </row>
    <row r="14" ht="32" customHeight="1">
      <c r="A14" s="22" t="inlineStr">
        <is>
          <t>B-09</t>
        </is>
      </c>
      <c r="B14" s="23" t="inlineStr">
        <is>
          <t>Su deposu ve hidrofor</t>
        </is>
      </c>
      <c r="C14" s="24" t="n">
        <v>5.8</v>
      </c>
      <c r="D14" s="25" t="inlineStr">
        <is>
          <t>DK-08</t>
        </is>
      </c>
      <c r="E14" s="25" t="inlineStr">
        <is>
          <t>SP-04</t>
        </is>
      </c>
      <c r="F14" s="25" t="inlineStr">
        <is>
          <t>DV-06</t>
        </is>
      </c>
      <c r="G14" s="25" t="inlineStr">
        <is>
          <t>TV-05</t>
        </is>
      </c>
      <c r="H14" s="25" t="inlineStr">
        <is>
          <t>KP-08</t>
        </is>
      </c>
      <c r="I14" s="25" t="inlineStr">
        <is>
          <t>DG-07</t>
        </is>
      </c>
      <c r="J14" s="25" t="inlineStr">
        <is>
          <t>EL-05</t>
        </is>
      </c>
      <c r="K14" s="25" t="inlineStr">
        <is>
          <t>MK-08</t>
        </is>
      </c>
      <c r="L14" s="25" t="inlineStr">
        <is>
          <t>ST-07</t>
        </is>
      </c>
      <c r="M14" s="26" t="inlineStr">
        <is>
          <t>Paslanmaz veya polyester depo, taşma-boşaltma hattı, hidrofor titreşim takozu.</t>
        </is>
      </c>
    </row>
    <row r="15" ht="32" customHeight="1">
      <c r="A15" s="22" t="inlineStr">
        <is>
          <t>B-10</t>
        </is>
      </c>
      <c r="B15" s="23" t="inlineStr">
        <is>
          <t>Elektrik panosu / depo</t>
        </is>
      </c>
      <c r="C15" s="24" t="n">
        <v>2.6</v>
      </c>
      <c r="D15" s="25" t="inlineStr">
        <is>
          <t>DK-08</t>
        </is>
      </c>
      <c r="E15" s="25" t="inlineStr">
        <is>
          <t>SP-04</t>
        </is>
      </c>
      <c r="F15" s="25" t="inlineStr">
        <is>
          <t>DV-06</t>
        </is>
      </c>
      <c r="G15" s="25" t="inlineStr">
        <is>
          <t>TV-05</t>
        </is>
      </c>
      <c r="H15" s="25" t="inlineStr">
        <is>
          <t>KP-08</t>
        </is>
      </c>
      <c r="I15" s="25" t="inlineStr">
        <is>
          <t>DG-07</t>
        </is>
      </c>
      <c r="J15" s="25" t="inlineStr">
        <is>
          <t>EL-09</t>
        </is>
      </c>
      <c r="K15" s="25" t="inlineStr">
        <is>
          <t>MK-08</t>
        </is>
      </c>
      <c r="L15" s="25" t="inlineStr">
        <is>
          <t>ST-01</t>
        </is>
      </c>
      <c r="M15" s="26" t="inlineStr">
        <is>
          <t>Ana dağıtım panosu ve zayıf akım panosu; akıllı ev ana kabini.</t>
        </is>
      </c>
    </row>
    <row r="16" ht="32" customHeight="1">
      <c r="A16" s="22" t="inlineStr">
        <is>
          <t>B-11</t>
        </is>
      </c>
      <c r="B16" s="23" t="inlineStr">
        <is>
          <t>Asansör ve tesisat şaftı</t>
        </is>
      </c>
      <c r="C16" s="24" t="n">
        <v>5</v>
      </c>
      <c r="D16" s="25" t="inlineStr">
        <is>
          <t>—</t>
        </is>
      </c>
      <c r="E16" s="25" t="inlineStr">
        <is>
          <t>—</t>
        </is>
      </c>
      <c r="F16" s="25" t="inlineStr">
        <is>
          <t>DV-06</t>
        </is>
      </c>
      <c r="G16" s="25" t="inlineStr">
        <is>
          <t>TV-05</t>
        </is>
      </c>
      <c r="H16" s="25" t="inlineStr">
        <is>
          <t>Asansör kabin kapısı</t>
        </is>
      </c>
      <c r="I16" s="25" t="inlineStr">
        <is>
          <t>DG-07</t>
        </is>
      </c>
      <c r="J16" s="25" t="inlineStr">
        <is>
          <t>EL-05</t>
        </is>
      </c>
      <c r="K16" s="25" t="inlineStr">
        <is>
          <t>MK-08</t>
        </is>
      </c>
      <c r="L16" s="25" t="inlineStr">
        <is>
          <t>ST-01</t>
        </is>
      </c>
      <c r="M16" s="26" t="inlineStr">
        <is>
          <t>4 duraklı makine dairesiz asansör; kuyu su yalıtımı ve süzgeci.</t>
        </is>
      </c>
    </row>
    <row r="17" ht="32" customHeight="1">
      <c r="A17" s="22" t="inlineStr">
        <is>
          <t>B-12</t>
        </is>
      </c>
      <c r="B17" s="23" t="inlineStr">
        <is>
          <t>WC + duş</t>
        </is>
      </c>
      <c r="C17" s="24" t="n">
        <v>4</v>
      </c>
      <c r="D17" s="25" t="inlineStr">
        <is>
          <t>DK-04</t>
        </is>
      </c>
      <c r="E17" s="25" t="inlineStr">
        <is>
          <t>SP-05</t>
        </is>
      </c>
      <c r="F17" s="25" t="inlineStr">
        <is>
          <t>DV-02</t>
        </is>
      </c>
      <c r="G17" s="25" t="inlineStr">
        <is>
          <t>TV-03</t>
        </is>
      </c>
      <c r="H17" s="25" t="inlineStr">
        <is>
          <t>KP-03</t>
        </is>
      </c>
      <c r="I17" s="25" t="inlineStr">
        <is>
          <t>DG-07</t>
        </is>
      </c>
      <c r="J17" s="25" t="inlineStr">
        <is>
          <t>EL-02</t>
        </is>
      </c>
      <c r="K17" s="25" t="inlineStr">
        <is>
          <t>MK-02 + MK-04</t>
        </is>
      </c>
      <c r="L17" s="25" t="inlineStr">
        <is>
          <t>ST-02</t>
        </is>
      </c>
      <c r="M17" s="26" t="inlineStr">
        <is>
          <t>Spor ve sauna bölümüne hizmet eder.</t>
        </is>
      </c>
    </row>
    <row r="18" ht="32" customHeight="1">
      <c r="A18" s="22" t="inlineStr">
        <is>
          <t>B-13</t>
        </is>
      </c>
      <c r="B18" s="23" t="inlineStr">
        <is>
          <t>Koridor</t>
        </is>
      </c>
      <c r="C18" s="24" t="n">
        <v>3.6</v>
      </c>
      <c r="D18" s="25" t="inlineStr">
        <is>
          <t>DK-01</t>
        </is>
      </c>
      <c r="E18" s="25" t="inlineStr">
        <is>
          <t>SP-02</t>
        </is>
      </c>
      <c r="F18" s="25" t="inlineStr">
        <is>
          <t>DV-01</t>
        </is>
      </c>
      <c r="G18" s="25" t="inlineStr">
        <is>
          <t>TV-01</t>
        </is>
      </c>
      <c r="H18" s="25" t="inlineStr">
        <is>
          <t>—</t>
        </is>
      </c>
      <c r="I18" s="25" t="inlineStr">
        <is>
          <t>DG-07</t>
        </is>
      </c>
      <c r="J18" s="25" t="inlineStr">
        <is>
          <t>EL-04</t>
        </is>
      </c>
      <c r="K18" s="25" t="inlineStr">
        <is>
          <t>MK-01</t>
        </is>
      </c>
      <c r="L18" s="25" t="inlineStr">
        <is>
          <t>ST-01</t>
        </is>
      </c>
      <c r="M18" s="26" t="inlineStr">
        <is>
          <t>Net genişlik 1,45 m (yönetmelik asgarisi 1,20 m).</t>
        </is>
      </c>
    </row>
    <row r="19" ht="32" customHeight="1">
      <c r="A19" s="22" t="inlineStr">
        <is>
          <t>B-14</t>
        </is>
      </c>
      <c r="B19" s="23" t="inlineStr">
        <is>
          <t>Şarap mahzeni ve bar</t>
        </is>
      </c>
      <c r="C19" s="24" t="n">
        <v>13.1</v>
      </c>
      <c r="D19" s="25" t="inlineStr">
        <is>
          <t>DK-02</t>
        </is>
      </c>
      <c r="E19" s="25" t="inlineStr">
        <is>
          <t>SP-01</t>
        </is>
      </c>
      <c r="F19" s="25" t="inlineStr">
        <is>
          <t>DV-01 + DV-04</t>
        </is>
      </c>
      <c r="G19" s="25" t="inlineStr">
        <is>
          <t>TV-01</t>
        </is>
      </c>
      <c r="H19" s="25" t="inlineStr">
        <is>
          <t>KP-02</t>
        </is>
      </c>
      <c r="I19" s="25" t="inlineStr">
        <is>
          <t>DG-07</t>
        </is>
      </c>
      <c r="J19" s="25" t="inlineStr">
        <is>
          <t>EL-01</t>
        </is>
      </c>
      <c r="K19" s="25" t="inlineStr">
        <is>
          <t>MK-04</t>
        </is>
      </c>
      <c r="L19" s="25" t="inlineStr">
        <is>
          <t>ST-01</t>
        </is>
      </c>
      <c r="M19" s="26" t="inlineStr">
        <is>
          <t>Sabit 14–16 °C için ayrı klima/nem kontrolü; ahşap şarap rafı.</t>
        </is>
      </c>
    </row>
    <row r="20" ht="32" customHeight="1">
      <c r="A20" s="22" t="inlineStr">
        <is>
          <t>B-15</t>
        </is>
      </c>
      <c r="B20" s="23" t="inlineStr">
        <is>
          <t>Spor salonu (fitness)</t>
        </is>
      </c>
      <c r="C20" s="24" t="n">
        <v>18.3</v>
      </c>
      <c r="D20" s="25" t="inlineStr">
        <is>
          <t>DK-03</t>
        </is>
      </c>
      <c r="E20" s="25" t="inlineStr">
        <is>
          <t>SP-01</t>
        </is>
      </c>
      <c r="F20" s="25" t="inlineStr">
        <is>
          <t>DV-01 + ayna duvar</t>
        </is>
      </c>
      <c r="G20" s="25" t="inlineStr">
        <is>
          <t>TV-01</t>
        </is>
      </c>
      <c r="H20" s="25" t="inlineStr">
        <is>
          <t>KP-02</t>
        </is>
      </c>
      <c r="I20" s="25" t="inlineStr">
        <is>
          <t>DG-03</t>
        </is>
      </c>
      <c r="J20" s="25" t="inlineStr">
        <is>
          <t>EL-04</t>
        </is>
      </c>
      <c r="K20" s="25" t="inlineStr">
        <is>
          <t>MK-01 + MK-03 + MK-04</t>
        </is>
      </c>
      <c r="L20" s="25" t="inlineStr">
        <is>
          <t>ST-01</t>
        </is>
      </c>
      <c r="M20" s="26" t="inlineStr">
        <is>
          <t>8 mm kauçuk şok emici alt katman, tam boy ayna ve bale barı.</t>
        </is>
      </c>
    </row>
    <row r="21" ht="32" customHeight="1">
      <c r="A21" s="22" t="inlineStr">
        <is>
          <t>B-16</t>
        </is>
      </c>
      <c r="B21" s="23" t="inlineStr">
        <is>
          <t>Sauna ve dinlenme</t>
        </is>
      </c>
      <c r="C21" s="24" t="n">
        <v>10.4</v>
      </c>
      <c r="D21" s="25" t="inlineStr">
        <is>
          <t>DK-04</t>
        </is>
      </c>
      <c r="E21" s="25" t="inlineStr">
        <is>
          <t>SP-05</t>
        </is>
      </c>
      <c r="F21" s="25" t="inlineStr">
        <is>
          <t>DV-02 + DV-08</t>
        </is>
      </c>
      <c r="G21" s="25" t="inlineStr">
        <is>
          <t>TV-03</t>
        </is>
      </c>
      <c r="H21" s="25" t="inlineStr">
        <is>
          <t>KP-07</t>
        </is>
      </c>
      <c r="I21" s="25" t="inlineStr">
        <is>
          <t>DG-07</t>
        </is>
      </c>
      <c r="J21" s="25" t="inlineStr">
        <is>
          <t>EL-02</t>
        </is>
      </c>
      <c r="K21" s="25" t="inlineStr">
        <is>
          <t>MK-07 + MK-04</t>
        </is>
      </c>
      <c r="L21" s="25" t="inlineStr">
        <is>
          <t>ST-02</t>
        </is>
      </c>
      <c r="M21" s="26" t="inlineStr">
        <is>
          <t>Sauna iç hacmi sedir kaplama; dinlenme alanı duştan ayrık.</t>
        </is>
      </c>
    </row>
    <row r="22" ht="32" customHeight="1">
      <c r="A22" s="22" t="inlineStr">
        <is>
          <t>B-17</t>
        </is>
      </c>
      <c r="B22" s="23" t="inlineStr">
        <is>
          <t>Soyunma ve duş</t>
        </is>
      </c>
      <c r="C22" s="24" t="n">
        <v>7.8</v>
      </c>
      <c r="D22" s="25" t="inlineStr">
        <is>
          <t>DK-04</t>
        </is>
      </c>
      <c r="E22" s="25" t="inlineStr">
        <is>
          <t>SP-05</t>
        </is>
      </c>
      <c r="F22" s="25" t="inlineStr">
        <is>
          <t>DV-02</t>
        </is>
      </c>
      <c r="G22" s="25" t="inlineStr">
        <is>
          <t>TV-03</t>
        </is>
      </c>
      <c r="H22" s="25" t="inlineStr">
        <is>
          <t>KP-07</t>
        </is>
      </c>
      <c r="I22" s="25" t="inlineStr">
        <is>
          <t>DG-03</t>
        </is>
      </c>
      <c r="J22" s="25" t="inlineStr">
        <is>
          <t>EL-02</t>
        </is>
      </c>
      <c r="K22" s="25" t="inlineStr">
        <is>
          <t>MK-02 + MK-04</t>
        </is>
      </c>
      <c r="L22" s="25" t="inlineStr">
        <is>
          <t>ST-02</t>
        </is>
      </c>
      <c r="M22" s="26" t="inlineStr">
        <is>
          <t>Soyunma dolapları ve duş kabinleri.</t>
        </is>
      </c>
    </row>
    <row r="23" ht="32" customHeight="1">
      <c r="A23" s="22" t="inlineStr">
        <is>
          <t>B-18</t>
        </is>
      </c>
      <c r="B23" s="23" t="inlineStr">
        <is>
          <t>Hizmet / misafir odası</t>
        </is>
      </c>
      <c r="C23" s="24" t="n">
        <v>10.4</v>
      </c>
      <c r="D23" s="25" t="inlineStr">
        <is>
          <t>DK-03</t>
        </is>
      </c>
      <c r="E23" s="25" t="inlineStr">
        <is>
          <t>SP-01</t>
        </is>
      </c>
      <c r="F23" s="25" t="inlineStr">
        <is>
          <t>DV-01 + DV-04</t>
        </is>
      </c>
      <c r="G23" s="25" t="inlineStr">
        <is>
          <t>TV-01</t>
        </is>
      </c>
      <c r="H23" s="25" t="inlineStr">
        <is>
          <t>KP-02</t>
        </is>
      </c>
      <c r="I23" s="25" t="inlineStr">
        <is>
          <t>DG-03</t>
        </is>
      </c>
      <c r="J23" s="25" t="inlineStr">
        <is>
          <t>EL-01</t>
        </is>
      </c>
      <c r="K23" s="25" t="inlineStr">
        <is>
          <t>MK-01 + MK-03</t>
        </is>
      </c>
      <c r="L23" s="25" t="inlineStr">
        <is>
          <t>ST-01</t>
        </is>
      </c>
      <c r="M23" s="26" t="inlineStr">
        <is>
          <t>Hizmet personeli veya uzun süreli misafir için; ensuite banyolu.</t>
        </is>
      </c>
    </row>
    <row r="24" ht="32" customHeight="1">
      <c r="A24" s="22" t="inlineStr">
        <is>
          <t>B-19</t>
        </is>
      </c>
      <c r="B24" s="23" t="inlineStr">
        <is>
          <t>Hizmet banyosu</t>
        </is>
      </c>
      <c r="C24" s="24" t="n">
        <v>4.8</v>
      </c>
      <c r="D24" s="25" t="inlineStr">
        <is>
          <t>DK-04</t>
        </is>
      </c>
      <c r="E24" s="25" t="inlineStr">
        <is>
          <t>SP-05</t>
        </is>
      </c>
      <c r="F24" s="25" t="inlineStr">
        <is>
          <t>DV-02</t>
        </is>
      </c>
      <c r="G24" s="25" t="inlineStr">
        <is>
          <t>TV-03</t>
        </is>
      </c>
      <c r="H24" s="25" t="inlineStr">
        <is>
          <t>KP-03</t>
        </is>
      </c>
      <c r="I24" s="25" t="inlineStr">
        <is>
          <t>DG-03</t>
        </is>
      </c>
      <c r="J24" s="25" t="inlineStr">
        <is>
          <t>EL-02</t>
        </is>
      </c>
      <c r="K24" s="25" t="inlineStr">
        <is>
          <t>MK-02 + MK-04</t>
        </is>
      </c>
      <c r="L24" s="25" t="inlineStr">
        <is>
          <t>ST-02</t>
        </is>
      </c>
      <c r="M24" s="26" t="inlineStr">
        <is>
          <t>Duş kabinli.</t>
        </is>
      </c>
    </row>
    <row r="25" ht="32" customHeight="1">
      <c r="A25" s="22" t="inlineStr">
        <is>
          <t>B-20</t>
        </is>
      </c>
      <c r="B25" s="23" t="inlineStr">
        <is>
          <t>Temizlik deposu</t>
        </is>
      </c>
      <c r="C25" s="24" t="n">
        <v>2.7</v>
      </c>
      <c r="D25" s="25" t="inlineStr">
        <is>
          <t>DK-08</t>
        </is>
      </c>
      <c r="E25" s="25" t="inlineStr">
        <is>
          <t>SP-04</t>
        </is>
      </c>
      <c r="F25" s="25" t="inlineStr">
        <is>
          <t>DV-01</t>
        </is>
      </c>
      <c r="G25" s="25" t="inlineStr">
        <is>
          <t>TV-05</t>
        </is>
      </c>
      <c r="H25" s="25" t="inlineStr">
        <is>
          <t>KP-08</t>
        </is>
      </c>
      <c r="I25" s="25" t="inlineStr">
        <is>
          <t>DG-07</t>
        </is>
      </c>
      <c r="J25" s="25" t="inlineStr">
        <is>
          <t>EL-05</t>
        </is>
      </c>
      <c r="K25" s="25" t="inlineStr">
        <is>
          <t>MK-08</t>
        </is>
      </c>
      <c r="L25" s="25" t="inlineStr">
        <is>
          <t>ST-01</t>
        </is>
      </c>
      <c r="M25" s="26" t="inlineStr">
        <is>
          <t>Temizlik malzemesi ve süpürge dolabı, eviye bağlantısı.</t>
        </is>
      </c>
    </row>
    <row r="26" ht="32" customHeight="1">
      <c r="A26" s="22" t="inlineStr">
        <is>
          <t>B-21</t>
        </is>
      </c>
      <c r="B26" s="23" t="inlineStr">
        <is>
          <t>Işıklık / İngiliz bahçesi</t>
        </is>
      </c>
      <c r="C26" s="24" t="n">
        <v>17.3</v>
      </c>
      <c r="D26" s="25" t="inlineStr">
        <is>
          <t>DK-05</t>
        </is>
      </c>
      <c r="E26" s="25" t="inlineStr">
        <is>
          <t>SP-02</t>
        </is>
      </c>
      <c r="F26" s="25" t="inlineStr">
        <is>
          <t>—</t>
        </is>
      </c>
      <c r="G26" s="25" t="inlineStr">
        <is>
          <t>—</t>
        </is>
      </c>
      <c r="H26" s="25" t="inlineStr">
        <is>
          <t>—</t>
        </is>
      </c>
      <c r="I26" s="25" t="inlineStr">
        <is>
          <t>DG-03</t>
        </is>
      </c>
      <c r="J26" s="25" t="inlineStr">
        <is>
          <t>EL-06</t>
        </is>
      </c>
      <c r="K26" s="25" t="inlineStr">
        <is>
          <t>—</t>
        </is>
      </c>
      <c r="L26" s="25" t="inlineStr">
        <is>
          <t>ST-08</t>
        </is>
      </c>
      <c r="M26" s="26" t="inlineStr">
        <is>
          <t>Işıklık tabanında drenaj, üstte galvaniz ızgara; bodruma doğal ışık ve havalandırma sağlar.</t>
        </is>
      </c>
    </row>
    <row r="27" ht="20" customHeight="1">
      <c r="A27" s="3" t="inlineStr">
        <is>
          <t>ZEMIN KAT</t>
        </is>
      </c>
    </row>
    <row r="28" ht="32" customHeight="1">
      <c r="A28" s="22" t="inlineStr">
        <is>
          <t>Z-01</t>
        </is>
      </c>
      <c r="B28" s="23" t="inlineStr">
        <is>
          <t>Salon / oturma alanı</t>
        </is>
      </c>
      <c r="C28" s="24" t="n">
        <v>61.4</v>
      </c>
      <c r="D28" s="25" t="inlineStr">
        <is>
          <t>DK-02</t>
        </is>
      </c>
      <c r="E28" s="25" t="inlineStr">
        <is>
          <t>SP-03</t>
        </is>
      </c>
      <c r="F28" s="25" t="inlineStr">
        <is>
          <t>DV-01 + DV-03 (TV duvarı)</t>
        </is>
      </c>
      <c r="G28" s="25" t="inlineStr">
        <is>
          <t>TV-01</t>
        </is>
      </c>
      <c r="H28" s="25" t="inlineStr">
        <is>
          <t>—</t>
        </is>
      </c>
      <c r="I28" s="25" t="inlineStr">
        <is>
          <t>DG-01 + DG-02</t>
        </is>
      </c>
      <c r="J28" s="25" t="inlineStr">
        <is>
          <t>EL-04</t>
        </is>
      </c>
      <c r="K28" s="25" t="inlineStr">
        <is>
          <t>MK-01 + MK-03</t>
        </is>
      </c>
      <c r="L28" s="25" t="inlineStr">
        <is>
          <t>ST-01</t>
        </is>
      </c>
      <c r="M28" s="26" t="inlineStr">
        <is>
          <t>Galeri boşluğu; şömine için baca/tesisat opsiyonu. Yemek alanıyla açık geçiş.</t>
        </is>
      </c>
    </row>
    <row r="29" ht="32" customHeight="1">
      <c r="A29" s="22" t="inlineStr">
        <is>
          <t>Z-02</t>
        </is>
      </c>
      <c r="B29" s="23" t="inlineStr">
        <is>
          <t>Yemek alanı</t>
        </is>
      </c>
      <c r="C29" s="24" t="n">
        <v>30.5</v>
      </c>
      <c r="D29" s="25" t="inlineStr">
        <is>
          <t>DK-02</t>
        </is>
      </c>
      <c r="E29" s="25" t="inlineStr">
        <is>
          <t>SP-03</t>
        </is>
      </c>
      <c r="F29" s="25" t="inlineStr">
        <is>
          <t>DV-01 + DV-04</t>
        </is>
      </c>
      <c r="G29" s="25" t="inlineStr">
        <is>
          <t>TV-01</t>
        </is>
      </c>
      <c r="H29" s="25" t="inlineStr">
        <is>
          <t>—</t>
        </is>
      </c>
      <c r="I29" s="25" t="inlineStr">
        <is>
          <t>DG-01</t>
        </is>
      </c>
      <c r="J29" s="25" t="inlineStr">
        <is>
          <t>EL-04</t>
        </is>
      </c>
      <c r="K29" s="25" t="inlineStr">
        <is>
          <t>MK-01 + MK-03</t>
        </is>
      </c>
      <c r="L29" s="25" t="inlineStr">
        <is>
          <t>ST-01</t>
        </is>
      </c>
      <c r="M29" s="26" t="inlineStr">
        <is>
          <t>Avize için tavanda taşıyıcı ankraj; mutfak ve salonla açık geçiş.</t>
        </is>
      </c>
    </row>
    <row r="30" ht="32" customHeight="1">
      <c r="A30" s="22" t="inlineStr">
        <is>
          <t>Z-03</t>
        </is>
      </c>
      <c r="B30" s="23" t="inlineStr">
        <is>
          <t>Kapalı veranda</t>
        </is>
      </c>
      <c r="C30" s="24" t="n">
        <v>28</v>
      </c>
      <c r="D30" s="25" t="inlineStr">
        <is>
          <t>DK-05</t>
        </is>
      </c>
      <c r="E30" s="25" t="inlineStr">
        <is>
          <t>SP-02</t>
        </is>
      </c>
      <c r="F30" s="25" t="inlineStr">
        <is>
          <t>DV-01 (dış cephe kaplaması)</t>
        </is>
      </c>
      <c r="G30" s="25" t="inlineStr">
        <is>
          <t>TV-04</t>
        </is>
      </c>
      <c r="H30" s="25" t="inlineStr">
        <is>
          <t>KP-07</t>
        </is>
      </c>
      <c r="I30" s="25" t="inlineStr">
        <is>
          <t>DG-02</t>
        </is>
      </c>
      <c r="J30" s="25" t="inlineStr">
        <is>
          <t>EL-06</t>
        </is>
      </c>
      <c r="K30" s="25" t="inlineStr">
        <is>
          <t>MK-08</t>
        </is>
      </c>
      <c r="L30" s="25" t="inlineStr">
        <is>
          <t>ST-08</t>
        </is>
      </c>
      <c r="M30" s="26" t="inlineStr">
        <is>
          <t>Katlanır/sürme cam sistemle dört mevsim kullanım; tavanda ısıtıcı opsiyonu.</t>
        </is>
      </c>
    </row>
    <row r="31" ht="32" customHeight="1">
      <c r="A31" s="22" t="inlineStr">
        <is>
          <t>Z-04</t>
        </is>
      </c>
      <c r="B31" s="23" t="inlineStr">
        <is>
          <t>Antre / giriş holü</t>
        </is>
      </c>
      <c r="C31" s="24" t="n">
        <v>11.5</v>
      </c>
      <c r="D31" s="25" t="inlineStr">
        <is>
          <t>DK-02</t>
        </is>
      </c>
      <c r="E31" s="25" t="inlineStr">
        <is>
          <t>SP-02</t>
        </is>
      </c>
      <c r="F31" s="25" t="inlineStr">
        <is>
          <t>DV-01</t>
        </is>
      </c>
      <c r="G31" s="25" t="inlineStr">
        <is>
          <t>TV-01</t>
        </is>
      </c>
      <c r="H31" s="25" t="inlineStr">
        <is>
          <t>KP-01</t>
        </is>
      </c>
      <c r="I31" s="25" t="inlineStr">
        <is>
          <t>DG-01</t>
        </is>
      </c>
      <c r="J31" s="25" t="inlineStr">
        <is>
          <t>EL-09</t>
        </is>
      </c>
      <c r="K31" s="25" t="inlineStr">
        <is>
          <t>MK-01</t>
        </is>
      </c>
      <c r="L31" s="25" t="inlineStr">
        <is>
          <t>ST-01</t>
        </is>
      </c>
      <c r="M31" s="26" t="inlineStr">
        <is>
          <t>Görüntülü diyafon, akıllı ev ana paneli, gömme paspas nişi.</t>
        </is>
      </c>
    </row>
    <row r="32" ht="32" customHeight="1">
      <c r="A32" s="22" t="inlineStr">
        <is>
          <t>Z-05</t>
        </is>
      </c>
      <c r="B32" s="23" t="inlineStr">
        <is>
          <t>Merdiven, hol ve galeri</t>
        </is>
      </c>
      <c r="C32" s="24" t="n">
        <v>17.7</v>
      </c>
      <c r="D32" s="25" t="inlineStr">
        <is>
          <t>DK-02</t>
        </is>
      </c>
      <c r="E32" s="25" t="inlineStr">
        <is>
          <t>SP-02</t>
        </is>
      </c>
      <c r="F32" s="25" t="inlineStr">
        <is>
          <t>DV-01</t>
        </is>
      </c>
      <c r="G32" s="25" t="inlineStr">
        <is>
          <t>TV-01</t>
        </is>
      </c>
      <c r="H32" s="25" t="inlineStr">
        <is>
          <t>—</t>
        </is>
      </c>
      <c r="I32" s="25" t="inlineStr">
        <is>
          <t>DG-01</t>
        </is>
      </c>
      <c r="J32" s="25" t="inlineStr">
        <is>
          <t>EL-04</t>
        </is>
      </c>
      <c r="K32" s="25" t="inlineStr">
        <is>
          <t>MK-01</t>
        </is>
      </c>
      <c r="L32" s="25" t="inlineStr">
        <is>
          <t>ST-01</t>
        </is>
      </c>
      <c r="M32" s="26" t="inlineStr">
        <is>
          <t>Doğal taş basamak + rıht, 10 mm temperli cam korkuluk (h=110 cm), paslanmaz küpeşte.</t>
        </is>
      </c>
    </row>
    <row r="33" ht="32" customHeight="1">
      <c r="A33" s="22" t="inlineStr">
        <is>
          <t>Z-06</t>
        </is>
      </c>
      <c r="B33" s="23" t="inlineStr">
        <is>
          <t>Mutfak (ankastre)</t>
        </is>
      </c>
      <c r="C33" s="24" t="n">
        <v>20.2</v>
      </c>
      <c r="D33" s="25" t="inlineStr">
        <is>
          <t>DK-01</t>
        </is>
      </c>
      <c r="E33" s="25" t="inlineStr">
        <is>
          <t>SP-04</t>
        </is>
      </c>
      <c r="F33" s="25" t="inlineStr">
        <is>
          <t>DV-02 + DV-01</t>
        </is>
      </c>
      <c r="G33" s="25" t="inlineStr">
        <is>
          <t>TV-01</t>
        </is>
      </c>
      <c r="H33" s="25" t="inlineStr">
        <is>
          <t>KP-04</t>
        </is>
      </c>
      <c r="I33" s="25" t="inlineStr">
        <is>
          <t>DG-01</t>
        </is>
      </c>
      <c r="J33" s="25" t="inlineStr">
        <is>
          <t>EL-03</t>
        </is>
      </c>
      <c r="K33" s="25" t="inlineStr">
        <is>
          <t>MK-01 + MK-05</t>
        </is>
      </c>
      <c r="L33" s="25" t="inlineStr">
        <is>
          <t>ST-05</t>
        </is>
      </c>
      <c r="M33" s="26" t="inlineStr">
        <is>
          <t>Ada tezgah; kuvars tezgah (Çimstone/Belenco), tezgah altı LED, çekmece içi priz.</t>
        </is>
      </c>
    </row>
    <row r="34" ht="32" customHeight="1">
      <c r="A34" s="22" t="inlineStr">
        <is>
          <t>Z-07</t>
        </is>
      </c>
      <c r="B34" s="23" t="inlineStr">
        <is>
          <t>Kiler / arka mutfak</t>
        </is>
      </c>
      <c r="C34" s="24" t="n">
        <v>10.2</v>
      </c>
      <c r="D34" s="25" t="inlineStr">
        <is>
          <t>DK-01</t>
        </is>
      </c>
      <c r="E34" s="25" t="inlineStr">
        <is>
          <t>SP-04</t>
        </is>
      </c>
      <c r="F34" s="25" t="inlineStr">
        <is>
          <t>DV-02 + DV-01</t>
        </is>
      </c>
      <c r="G34" s="25" t="inlineStr">
        <is>
          <t>TV-03</t>
        </is>
      </c>
      <c r="H34" s="25" t="inlineStr">
        <is>
          <t>KP-02</t>
        </is>
      </c>
      <c r="I34" s="25" t="inlineStr">
        <is>
          <t>DG-01</t>
        </is>
      </c>
      <c r="J34" s="25" t="inlineStr">
        <is>
          <t>EL-03</t>
        </is>
      </c>
      <c r="K34" s="25" t="inlineStr">
        <is>
          <t>MK-04</t>
        </is>
      </c>
      <c r="L34" s="25" t="inlineStr">
        <is>
          <t>ST-05</t>
        </is>
      </c>
      <c r="M34" s="26" t="inlineStr">
        <is>
          <t>Arka mutfak: bulaşık ve hazırlık alanı, derin raflı kiler.</t>
        </is>
      </c>
    </row>
    <row r="35" ht="32" customHeight="1">
      <c r="A35" s="22" t="inlineStr">
        <is>
          <t>Z-08</t>
        </is>
      </c>
      <c r="B35" s="23" t="inlineStr">
        <is>
          <t>Misafir WC</t>
        </is>
      </c>
      <c r="C35" s="24" t="n">
        <v>5.8</v>
      </c>
      <c r="D35" s="25" t="inlineStr">
        <is>
          <t>DK-04</t>
        </is>
      </c>
      <c r="E35" s="25" t="inlineStr">
        <is>
          <t>SP-05</t>
        </is>
      </c>
      <c r="F35" s="25" t="inlineStr">
        <is>
          <t>DV-03</t>
        </is>
      </c>
      <c r="G35" s="25" t="inlineStr">
        <is>
          <t>TV-03</t>
        </is>
      </c>
      <c r="H35" s="25" t="inlineStr">
        <is>
          <t>KP-03</t>
        </is>
      </c>
      <c r="I35" s="25" t="inlineStr">
        <is>
          <t>DG-07</t>
        </is>
      </c>
      <c r="J35" s="25" t="inlineStr">
        <is>
          <t>EL-02</t>
        </is>
      </c>
      <c r="K35" s="25" t="inlineStr">
        <is>
          <t>MK-02 + MK-04</t>
        </is>
      </c>
      <c r="L35" s="25" t="inlineStr">
        <is>
          <t>ST-04</t>
        </is>
      </c>
      <c r="M35" s="26" t="inlineStr">
        <is>
          <t>Tezgah üstü çanak lavabo, ankastre batarya, dekoratif aydınlatma.</t>
        </is>
      </c>
    </row>
    <row r="36" ht="32" customHeight="1">
      <c r="A36" s="22" t="inlineStr">
        <is>
          <t>Z-09</t>
        </is>
      </c>
      <c r="B36" s="23" t="inlineStr">
        <is>
          <t>Vestiyer</t>
        </is>
      </c>
      <c r="C36" s="24" t="n">
        <v>2.6</v>
      </c>
      <c r="D36" s="25" t="inlineStr">
        <is>
          <t>DK-08</t>
        </is>
      </c>
      <c r="E36" s="25" t="inlineStr">
        <is>
          <t>SP-04</t>
        </is>
      </c>
      <c r="F36" s="25" t="inlineStr">
        <is>
          <t>DV-01</t>
        </is>
      </c>
      <c r="G36" s="25" t="inlineStr">
        <is>
          <t>TV-05</t>
        </is>
      </c>
      <c r="H36" s="25" t="inlineStr">
        <is>
          <t>KP-04</t>
        </is>
      </c>
      <c r="I36" s="25" t="inlineStr">
        <is>
          <t>DG-07</t>
        </is>
      </c>
      <c r="J36" s="25" t="inlineStr">
        <is>
          <t>EL-05</t>
        </is>
      </c>
      <c r="K36" s="25" t="inlineStr">
        <is>
          <t>MK-01</t>
        </is>
      </c>
      <c r="L36" s="25" t="inlineStr">
        <is>
          <t>ST-01</t>
        </is>
      </c>
      <c r="M36" s="26" t="inlineStr">
        <is>
          <t>Tavana kadar gardırop, havalandırma menfezi.</t>
        </is>
      </c>
    </row>
    <row r="37" ht="32" customHeight="1">
      <c r="A37" s="22" t="inlineStr">
        <is>
          <t>Z-10</t>
        </is>
      </c>
      <c r="B37" s="23" t="inlineStr">
        <is>
          <t>Asansör ve tesisat şaftı</t>
        </is>
      </c>
      <c r="C37" s="24" t="n">
        <v>5</v>
      </c>
      <c r="D37" s="25" t="inlineStr">
        <is>
          <t>—</t>
        </is>
      </c>
      <c r="E37" s="25" t="inlineStr">
        <is>
          <t>—</t>
        </is>
      </c>
      <c r="F37" s="25" t="inlineStr">
        <is>
          <t>DV-06</t>
        </is>
      </c>
      <c r="G37" s="25" t="inlineStr">
        <is>
          <t>TV-05</t>
        </is>
      </c>
      <c r="H37" s="25" t="inlineStr">
        <is>
          <t>Asansör kabin kapısı</t>
        </is>
      </c>
      <c r="I37" s="25" t="inlineStr">
        <is>
          <t>DG-07</t>
        </is>
      </c>
      <c r="J37" s="25" t="inlineStr">
        <is>
          <t>EL-05</t>
        </is>
      </c>
      <c r="K37" s="25" t="inlineStr">
        <is>
          <t>MK-08</t>
        </is>
      </c>
      <c r="L37" s="25" t="inlineStr">
        <is>
          <t>ST-01</t>
        </is>
      </c>
      <c r="M37" s="26" t="inlineStr">
        <is>
          <t>Asansör kuyusu ve tesisat şaftı; şaft yangın durdurucu ile katlarda kesilir.</t>
        </is>
      </c>
    </row>
    <row r="38" ht="32" customHeight="1">
      <c r="A38" s="22" t="inlineStr">
        <is>
          <t>Z-11</t>
        </is>
      </c>
      <c r="B38" s="23" t="inlineStr">
        <is>
          <t>Koridor</t>
        </is>
      </c>
      <c r="C38" s="24" t="n">
        <v>8</v>
      </c>
      <c r="D38" s="25" t="inlineStr">
        <is>
          <t>DK-02</t>
        </is>
      </c>
      <c r="E38" s="25" t="inlineStr">
        <is>
          <t>SP-02</t>
        </is>
      </c>
      <c r="F38" s="25" t="inlineStr">
        <is>
          <t>DV-01</t>
        </is>
      </c>
      <c r="G38" s="25" t="inlineStr">
        <is>
          <t>TV-01</t>
        </is>
      </c>
      <c r="H38" s="25" t="inlineStr">
        <is>
          <t>—</t>
        </is>
      </c>
      <c r="I38" s="25" t="inlineStr">
        <is>
          <t>DG-07</t>
        </is>
      </c>
      <c r="J38" s="25" t="inlineStr">
        <is>
          <t>EL-04</t>
        </is>
      </c>
      <c r="K38" s="25" t="inlineStr">
        <is>
          <t>MK-01</t>
        </is>
      </c>
      <c r="L38" s="25" t="inlineStr">
        <is>
          <t>ST-01</t>
        </is>
      </c>
      <c r="M38" s="26" t="inlineStr">
        <is>
          <t>Misafir süitine ve ofise erişim; net genişlik 2,45 m.</t>
        </is>
      </c>
    </row>
    <row r="39" ht="32" customHeight="1">
      <c r="A39" s="22" t="inlineStr">
        <is>
          <t>Z-12</t>
        </is>
      </c>
      <c r="B39" s="23" t="inlineStr">
        <is>
          <t>Misafir yatak odası (süit)</t>
        </is>
      </c>
      <c r="C39" s="24" t="n">
        <v>18.3</v>
      </c>
      <c r="D39" s="25" t="inlineStr">
        <is>
          <t>DK-03</t>
        </is>
      </c>
      <c r="E39" s="25" t="inlineStr">
        <is>
          <t>SP-01</t>
        </is>
      </c>
      <c r="F39" s="25" t="inlineStr">
        <is>
          <t>DV-01 + DV-04</t>
        </is>
      </c>
      <c r="G39" s="25" t="inlineStr">
        <is>
          <t>TV-01</t>
        </is>
      </c>
      <c r="H39" s="25" t="inlineStr">
        <is>
          <t>KP-02</t>
        </is>
      </c>
      <c r="I39" s="25" t="inlineStr">
        <is>
          <t>DG-01 + DG-05 + DG-06</t>
        </is>
      </c>
      <c r="J39" s="25" t="inlineStr">
        <is>
          <t>EL-01</t>
        </is>
      </c>
      <c r="K39" s="25" t="inlineStr">
        <is>
          <t>MK-01 + MK-03</t>
        </is>
      </c>
      <c r="L39" s="25" t="inlineStr">
        <is>
          <t>ST-01</t>
        </is>
      </c>
      <c r="M39" s="26" t="inlineStr">
        <is>
          <t>Giyinme nişi ve ensuite banyo ile süit kurgusu.</t>
        </is>
      </c>
    </row>
    <row r="40" ht="32" customHeight="1">
      <c r="A40" s="22" t="inlineStr">
        <is>
          <t>Z-13</t>
        </is>
      </c>
      <c r="B40" s="23" t="inlineStr">
        <is>
          <t>Misafir banyosu</t>
        </is>
      </c>
      <c r="C40" s="24" t="n">
        <v>5.8</v>
      </c>
      <c r="D40" s="25" t="inlineStr">
        <is>
          <t>DK-04</t>
        </is>
      </c>
      <c r="E40" s="25" t="inlineStr">
        <is>
          <t>SP-05</t>
        </is>
      </c>
      <c r="F40" s="25" t="inlineStr">
        <is>
          <t>DV-02</t>
        </is>
      </c>
      <c r="G40" s="25" t="inlineStr">
        <is>
          <t>TV-03</t>
        </is>
      </c>
      <c r="H40" s="25" t="inlineStr">
        <is>
          <t>KP-03</t>
        </is>
      </c>
      <c r="I40" s="25" t="inlineStr">
        <is>
          <t>DG-01</t>
        </is>
      </c>
      <c r="J40" s="25" t="inlineStr">
        <is>
          <t>EL-02</t>
        </is>
      </c>
      <c r="K40" s="25" t="inlineStr">
        <is>
          <t>MK-02 + MK-04</t>
        </is>
      </c>
      <c r="L40" s="25" t="inlineStr">
        <is>
          <t>ST-02</t>
        </is>
      </c>
      <c r="M40" s="26" t="inlineStr">
        <is>
          <t>Duş nişi gizli süzgeçli, cam duş kabini.</t>
        </is>
      </c>
    </row>
    <row r="41" ht="32" customHeight="1">
      <c r="A41" s="22" t="inlineStr">
        <is>
          <t>Z-14</t>
        </is>
      </c>
      <c r="B41" s="23" t="inlineStr">
        <is>
          <t>Misafir giyinme odası</t>
        </is>
      </c>
      <c r="C41" s="24" t="n">
        <v>4.4</v>
      </c>
      <c r="D41" s="25" t="inlineStr">
        <is>
          <t>DK-08</t>
        </is>
      </c>
      <c r="E41" s="25" t="inlineStr">
        <is>
          <t>SP-04</t>
        </is>
      </c>
      <c r="F41" s="25" t="inlineStr">
        <is>
          <t>DV-01</t>
        </is>
      </c>
      <c r="G41" s="25" t="inlineStr">
        <is>
          <t>TV-05</t>
        </is>
      </c>
      <c r="H41" s="25" t="inlineStr">
        <is>
          <t>KP-04</t>
        </is>
      </c>
      <c r="I41" s="25" t="inlineStr">
        <is>
          <t>DG-07</t>
        </is>
      </c>
      <c r="J41" s="25" t="inlineStr">
        <is>
          <t>EL-05</t>
        </is>
      </c>
      <c r="K41" s="25" t="inlineStr">
        <is>
          <t>MK-01 + MK-04</t>
        </is>
      </c>
      <c r="L41" s="25" t="inlineStr">
        <is>
          <t>ST-01</t>
        </is>
      </c>
      <c r="M41" s="26" t="inlineStr">
        <is>
          <t>Misafir süiti giyinme odası; sensörlü dolap içi aydınlatma.</t>
        </is>
      </c>
    </row>
    <row r="42" ht="32" customHeight="1">
      <c r="A42" s="22" t="inlineStr">
        <is>
          <t>Z-15</t>
        </is>
      </c>
      <c r="B42" s="23" t="inlineStr">
        <is>
          <t>Çalışma odası / ofis</t>
        </is>
      </c>
      <c r="C42" s="24" t="n">
        <v>16.7</v>
      </c>
      <c r="D42" s="25" t="inlineStr">
        <is>
          <t>DK-03</t>
        </is>
      </c>
      <c r="E42" s="25" t="inlineStr">
        <is>
          <t>SP-01</t>
        </is>
      </c>
      <c r="F42" s="25" t="inlineStr">
        <is>
          <t>DV-01 + DV-04</t>
        </is>
      </c>
      <c r="G42" s="25" t="inlineStr">
        <is>
          <t>TV-01</t>
        </is>
      </c>
      <c r="H42" s="25" t="inlineStr">
        <is>
          <t>KP-02</t>
        </is>
      </c>
      <c r="I42" s="25" t="inlineStr">
        <is>
          <t>DG-01</t>
        </is>
      </c>
      <c r="J42" s="25" t="inlineStr">
        <is>
          <t>EL-01</t>
        </is>
      </c>
      <c r="K42" s="25" t="inlineStr">
        <is>
          <t>MK-01 + MK-03</t>
        </is>
      </c>
      <c r="L42" s="25" t="inlineStr">
        <is>
          <t>ST-01</t>
        </is>
      </c>
      <c r="M42" s="26" t="inlineStr">
        <is>
          <t>CAT6 data ve ayrı sigortalı priz hattı; kitaplık ankrajı.</t>
        </is>
      </c>
    </row>
    <row r="43" ht="32" customHeight="1">
      <c r="A43" s="22" t="inlineStr">
        <is>
          <t>Z-16</t>
        </is>
      </c>
      <c r="B43" s="23" t="inlineStr">
        <is>
          <t>Üstü örtülü teras (barbekü)</t>
        </is>
      </c>
      <c r="C43" s="24" t="n">
        <v>27.6</v>
      </c>
      <c r="D43" s="25" t="inlineStr">
        <is>
          <t>DK-05</t>
        </is>
      </c>
      <c r="E43" s="25" t="inlineStr">
        <is>
          <t>SP-02</t>
        </is>
      </c>
      <c r="F43" s="25" t="inlineStr">
        <is>
          <t>—</t>
        </is>
      </c>
      <c r="G43" s="25" t="inlineStr">
        <is>
          <t>TV-04</t>
        </is>
      </c>
      <c r="H43" s="25" t="inlineStr">
        <is>
          <t>—</t>
        </is>
      </c>
      <c r="I43" s="25" t="inlineStr">
        <is>
          <t>DG-02</t>
        </is>
      </c>
      <c r="J43" s="25" t="inlineStr">
        <is>
          <t>EL-06</t>
        </is>
      </c>
      <c r="K43" s="25" t="inlineStr">
        <is>
          <t>—</t>
        </is>
      </c>
      <c r="L43" s="25" t="inlineStr">
        <is>
          <t>ST-08</t>
        </is>
      </c>
      <c r="M43" s="26" t="inlineStr">
        <is>
          <t>Yaz mutfağı ve barbekü; su-atık hattı, dış priz, üstü örtülü.</t>
        </is>
      </c>
    </row>
    <row r="44" ht="20" customHeight="1">
      <c r="A44" s="3" t="inlineStr">
        <is>
          <t>1. NORMAL KAT</t>
        </is>
      </c>
    </row>
    <row r="45" ht="32" customHeight="1">
      <c r="A45" s="22" t="inlineStr">
        <is>
          <t>K-01</t>
        </is>
      </c>
      <c r="B45" s="23" t="inlineStr">
        <is>
          <t>Ebeveyn yatak odası</t>
        </is>
      </c>
      <c r="C45" s="24" t="n">
        <v>29.6</v>
      </c>
      <c r="D45" s="25" t="inlineStr">
        <is>
          <t>DK-03</t>
        </is>
      </c>
      <c r="E45" s="25" t="inlineStr">
        <is>
          <t>SP-01</t>
        </is>
      </c>
      <c r="F45" s="25" t="inlineStr">
        <is>
          <t>DV-01 + DV-04</t>
        </is>
      </c>
      <c r="G45" s="25" t="inlineStr">
        <is>
          <t>TV-01</t>
        </is>
      </c>
      <c r="H45" s="25" t="inlineStr">
        <is>
          <t>KP-02</t>
        </is>
      </c>
      <c r="I45" s="25" t="inlineStr">
        <is>
          <t>DG-01 + DG-05 + DG-06</t>
        </is>
      </c>
      <c r="J45" s="25" t="inlineStr">
        <is>
          <t>EL-01</t>
        </is>
      </c>
      <c r="K45" s="25" t="inlineStr">
        <is>
          <t>MK-01 + MK-03</t>
        </is>
      </c>
      <c r="L45" s="25" t="inlineStr">
        <is>
          <t>ST-01</t>
        </is>
      </c>
      <c r="M45" s="26" t="inlineStr">
        <is>
          <t>Giyinme ve banyo ile süit kurgusu; yatak başı çift yönlü anahtar.</t>
        </is>
      </c>
    </row>
    <row r="46" ht="32" customHeight="1">
      <c r="A46" s="22" t="inlineStr">
        <is>
          <t>K-02</t>
        </is>
      </c>
      <c r="B46" s="23" t="inlineStr">
        <is>
          <t>Ebeveyn giyinme odası</t>
        </is>
      </c>
      <c r="C46" s="24" t="n">
        <v>15.9</v>
      </c>
      <c r="D46" s="25" t="inlineStr">
        <is>
          <t>DK-08</t>
        </is>
      </c>
      <c r="E46" s="25" t="inlineStr">
        <is>
          <t>SP-04</t>
        </is>
      </c>
      <c r="F46" s="25" t="inlineStr">
        <is>
          <t>DV-01</t>
        </is>
      </c>
      <c r="G46" s="25" t="inlineStr">
        <is>
          <t>TV-05</t>
        </is>
      </c>
      <c r="H46" s="25" t="inlineStr">
        <is>
          <t>KP-04</t>
        </is>
      </c>
      <c r="I46" s="25" t="inlineStr">
        <is>
          <t>DG-01</t>
        </is>
      </c>
      <c r="J46" s="25" t="inlineStr">
        <is>
          <t>EL-05</t>
        </is>
      </c>
      <c r="K46" s="25" t="inlineStr">
        <is>
          <t>MK-01 + MK-04</t>
        </is>
      </c>
      <c r="L46" s="25" t="inlineStr">
        <is>
          <t>ST-01</t>
        </is>
      </c>
      <c r="M46" s="26" t="inlineStr">
        <is>
          <t>Ada dolap, sensörlü dolap içi aydınlatma, tam boy ayna.</t>
        </is>
      </c>
    </row>
    <row r="47" ht="32" customHeight="1">
      <c r="A47" s="22" t="inlineStr">
        <is>
          <t>K-03</t>
        </is>
      </c>
      <c r="B47" s="23" t="inlineStr">
        <is>
          <t>Ebeveyn banyosu</t>
        </is>
      </c>
      <c r="C47" s="24" t="n">
        <v>14.1</v>
      </c>
      <c r="D47" s="25" t="inlineStr">
        <is>
          <t>DK-04</t>
        </is>
      </c>
      <c r="E47" s="25" t="inlineStr">
        <is>
          <t>SP-05</t>
        </is>
      </c>
      <c r="F47" s="25" t="inlineStr">
        <is>
          <t>DV-03</t>
        </is>
      </c>
      <c r="G47" s="25" t="inlineStr">
        <is>
          <t>TV-03</t>
        </is>
      </c>
      <c r="H47" s="25" t="inlineStr">
        <is>
          <t>KP-03</t>
        </is>
      </c>
      <c r="I47" s="25" t="inlineStr">
        <is>
          <t>DG-01</t>
        </is>
      </c>
      <c r="J47" s="25" t="inlineStr">
        <is>
          <t>EL-02</t>
        </is>
      </c>
      <c r="K47" s="25" t="inlineStr">
        <is>
          <t>MK-02 + MK-04</t>
        </is>
      </c>
      <c r="L47" s="25" t="inlineStr">
        <is>
          <t>ST-03</t>
        </is>
      </c>
      <c r="M47" s="26" t="inlineStr">
        <is>
          <t>Çift lavabo, serbest duran küvet, yağmurlama duş, ayna ısıtıcı.</t>
        </is>
      </c>
    </row>
    <row r="48" ht="32" customHeight="1">
      <c r="A48" s="22" t="inlineStr">
        <is>
          <t>K-04</t>
        </is>
      </c>
      <c r="B48" s="23" t="inlineStr">
        <is>
          <t>Aile oturma odası / TV</t>
        </is>
      </c>
      <c r="C48" s="24" t="n">
        <v>26</v>
      </c>
      <c r="D48" s="25" t="inlineStr">
        <is>
          <t>DK-03</t>
        </is>
      </c>
      <c r="E48" s="25" t="inlineStr">
        <is>
          <t>SP-01</t>
        </is>
      </c>
      <c r="F48" s="25" t="inlineStr">
        <is>
          <t>DV-01 + DV-04</t>
        </is>
      </c>
      <c r="G48" s="25" t="inlineStr">
        <is>
          <t>TV-01</t>
        </is>
      </c>
      <c r="H48" s="25" t="inlineStr">
        <is>
          <t>—</t>
        </is>
      </c>
      <c r="I48" s="25" t="inlineStr">
        <is>
          <t>DG-01</t>
        </is>
      </c>
      <c r="J48" s="25" t="inlineStr">
        <is>
          <t>EL-04</t>
        </is>
      </c>
      <c r="K48" s="25" t="inlineStr">
        <is>
          <t>MK-01 + MK-03</t>
        </is>
      </c>
      <c r="L48" s="25" t="inlineStr">
        <is>
          <t>ST-01</t>
        </is>
      </c>
      <c r="M48" s="26" t="inlineStr">
        <is>
          <t>TV ünitesi için gömme kanal; senaryolu aydınlatma. Balkona sürme kapı.</t>
        </is>
      </c>
    </row>
    <row r="49" ht="32" customHeight="1">
      <c r="A49" s="22" t="inlineStr">
        <is>
          <t>K-05</t>
        </is>
      </c>
      <c r="B49" s="23" t="inlineStr">
        <is>
          <t>Çalışma odası / kütüphane</t>
        </is>
      </c>
      <c r="C49" s="24" t="n">
        <v>17.1</v>
      </c>
      <c r="D49" s="25" t="inlineStr">
        <is>
          <t>DK-03</t>
        </is>
      </c>
      <c r="E49" s="25" t="inlineStr">
        <is>
          <t>SP-01</t>
        </is>
      </c>
      <c r="F49" s="25" t="inlineStr">
        <is>
          <t>DV-01 + DV-04</t>
        </is>
      </c>
      <c r="G49" s="25" t="inlineStr">
        <is>
          <t>TV-01</t>
        </is>
      </c>
      <c r="H49" s="25" t="inlineStr">
        <is>
          <t>KP-04</t>
        </is>
      </c>
      <c r="I49" s="25" t="inlineStr">
        <is>
          <t>DG-01</t>
        </is>
      </c>
      <c r="J49" s="25" t="inlineStr">
        <is>
          <t>EL-04</t>
        </is>
      </c>
      <c r="K49" s="25" t="inlineStr">
        <is>
          <t>MK-01 + MK-03</t>
        </is>
      </c>
      <c r="L49" s="25" t="inlineStr">
        <is>
          <t>ST-01</t>
        </is>
      </c>
      <c r="M49" s="26" t="inlineStr">
        <is>
          <t>Kitaplık ankrajı, okuma aydınlatması, data hattı.</t>
        </is>
      </c>
    </row>
    <row r="50" ht="32" customHeight="1">
      <c r="A50" s="22" t="inlineStr">
        <is>
          <t>K-06</t>
        </is>
      </c>
      <c r="B50" s="23" t="inlineStr">
        <is>
          <t>Ebeveyn balkonu</t>
        </is>
      </c>
      <c r="C50" s="24" t="n">
        <v>14.6</v>
      </c>
      <c r="D50" s="25" t="inlineStr">
        <is>
          <t>DK-05</t>
        </is>
      </c>
      <c r="E50" s="25" t="inlineStr">
        <is>
          <t>SP-02</t>
        </is>
      </c>
      <c r="F50" s="25" t="inlineStr">
        <is>
          <t>—</t>
        </is>
      </c>
      <c r="G50" s="25" t="inlineStr">
        <is>
          <t>TV-04</t>
        </is>
      </c>
      <c r="H50" s="25" t="inlineStr">
        <is>
          <t>—</t>
        </is>
      </c>
      <c r="I50" s="25" t="inlineStr">
        <is>
          <t>DG-02</t>
        </is>
      </c>
      <c r="J50" s="25" t="inlineStr">
        <is>
          <t>EL-06</t>
        </is>
      </c>
      <c r="K50" s="25" t="inlineStr">
        <is>
          <t>—</t>
        </is>
      </c>
      <c r="L50" s="25" t="inlineStr">
        <is>
          <t>ST-08</t>
        </is>
      </c>
      <c r="M50" s="26" t="inlineStr">
        <is>
          <t>Ebeveyn ve aile oturma odasına açılan balkon; cam korkuluk, gizli drenaj.</t>
        </is>
      </c>
    </row>
    <row r="51" ht="32" customHeight="1">
      <c r="A51" s="22" t="inlineStr">
        <is>
          <t>K-07</t>
        </is>
      </c>
      <c r="B51" s="23" t="inlineStr">
        <is>
          <t>Üst hol, merdiven ve galeri</t>
        </is>
      </c>
      <c r="C51" s="24" t="n">
        <v>29.7</v>
      </c>
      <c r="D51" s="25" t="inlineStr">
        <is>
          <t>DK-02</t>
        </is>
      </c>
      <c r="E51" s="25" t="inlineStr">
        <is>
          <t>SP-02</t>
        </is>
      </c>
      <c r="F51" s="25" t="inlineStr">
        <is>
          <t>DV-01</t>
        </is>
      </c>
      <c r="G51" s="25" t="inlineStr">
        <is>
          <t>TV-01</t>
        </is>
      </c>
      <c r="H51" s="25" t="inlineStr">
        <is>
          <t>—</t>
        </is>
      </c>
      <c r="I51" s="25" t="inlineStr">
        <is>
          <t>DG-01</t>
        </is>
      </c>
      <c r="J51" s="25" t="inlineStr">
        <is>
          <t>EL-04</t>
        </is>
      </c>
      <c r="K51" s="25" t="inlineStr">
        <is>
          <t>MK-01</t>
        </is>
      </c>
      <c r="L51" s="25" t="inlineStr">
        <is>
          <t>ST-01</t>
        </is>
      </c>
      <c r="M51" s="26" t="inlineStr">
        <is>
          <t>Galeri boşluğu çevresinde temperli cam korkuluk h=110 cm.</t>
        </is>
      </c>
    </row>
    <row r="52" ht="32" customHeight="1">
      <c r="A52" s="22" t="inlineStr">
        <is>
          <t>K-08</t>
        </is>
      </c>
      <c r="B52" s="23" t="inlineStr">
        <is>
          <t>Çamaşır ve ütü nişi</t>
        </is>
      </c>
      <c r="C52" s="24" t="n">
        <v>6</v>
      </c>
      <c r="D52" s="25" t="inlineStr">
        <is>
          <t>DK-04</t>
        </is>
      </c>
      <c r="E52" s="25" t="inlineStr">
        <is>
          <t>SP-05</t>
        </is>
      </c>
      <c r="F52" s="25" t="inlineStr">
        <is>
          <t>DV-05</t>
        </is>
      </c>
      <c r="G52" s="25" t="inlineStr">
        <is>
          <t>TV-03</t>
        </is>
      </c>
      <c r="H52" s="25" t="inlineStr">
        <is>
          <t>KP-04</t>
        </is>
      </c>
      <c r="I52" s="25" t="inlineStr">
        <is>
          <t>DG-07</t>
        </is>
      </c>
      <c r="J52" s="25" t="inlineStr">
        <is>
          <t>EL-02</t>
        </is>
      </c>
      <c r="K52" s="25" t="inlineStr">
        <is>
          <t>MK-04</t>
        </is>
      </c>
      <c r="L52" s="25" t="inlineStr">
        <is>
          <t>ST-06</t>
        </is>
      </c>
      <c r="M52" s="26" t="inlineStr">
        <is>
          <t>Üst kat çamaşır nişi; makine bağlantısı, yer süzgeci, taşma sensörü.</t>
        </is>
      </c>
    </row>
    <row r="53" ht="32" customHeight="1">
      <c r="A53" s="22" t="inlineStr">
        <is>
          <t>K-09</t>
        </is>
      </c>
      <c r="B53" s="23" t="inlineStr">
        <is>
          <t>Yatak odası 4</t>
        </is>
      </c>
      <c r="C53" s="24" t="n">
        <v>19.6</v>
      </c>
      <c r="D53" s="25" t="inlineStr">
        <is>
          <t>DK-03</t>
        </is>
      </c>
      <c r="E53" s="25" t="inlineStr">
        <is>
          <t>SP-01</t>
        </is>
      </c>
      <c r="F53" s="25" t="inlineStr">
        <is>
          <t>DV-01 + DV-04</t>
        </is>
      </c>
      <c r="G53" s="25" t="inlineStr">
        <is>
          <t>TV-01</t>
        </is>
      </c>
      <c r="H53" s="25" t="inlineStr">
        <is>
          <t>KP-02</t>
        </is>
      </c>
      <c r="I53" s="25" t="inlineStr">
        <is>
          <t>DG-01 + DG-05 + DG-06</t>
        </is>
      </c>
      <c r="J53" s="25" t="inlineStr">
        <is>
          <t>EL-01</t>
        </is>
      </c>
      <c r="K53" s="25" t="inlineStr">
        <is>
          <t>MK-01 + MK-03</t>
        </is>
      </c>
      <c r="L53" s="25" t="inlineStr">
        <is>
          <t>ST-01</t>
        </is>
      </c>
      <c r="M53" s="26" t="inlineStr">
        <is>
          <t>Gömme gardırop; ortak banyoya yakın.</t>
        </is>
      </c>
    </row>
    <row r="54" ht="32" customHeight="1">
      <c r="A54" s="22" t="inlineStr">
        <is>
          <t>K-10</t>
        </is>
      </c>
      <c r="B54" s="23" t="inlineStr">
        <is>
          <t>Yatak odası 2</t>
        </is>
      </c>
      <c r="C54" s="24" t="n">
        <v>19.3</v>
      </c>
      <c r="D54" s="25" t="inlineStr">
        <is>
          <t>DK-03</t>
        </is>
      </c>
      <c r="E54" s="25" t="inlineStr">
        <is>
          <t>SP-01</t>
        </is>
      </c>
      <c r="F54" s="25" t="inlineStr">
        <is>
          <t>DV-01 + DV-04</t>
        </is>
      </c>
      <c r="G54" s="25" t="inlineStr">
        <is>
          <t>TV-01</t>
        </is>
      </c>
      <c r="H54" s="25" t="inlineStr">
        <is>
          <t>KP-02</t>
        </is>
      </c>
      <c r="I54" s="25" t="inlineStr">
        <is>
          <t>DG-01 + DG-05 + DG-06</t>
        </is>
      </c>
      <c r="J54" s="25" t="inlineStr">
        <is>
          <t>EL-01</t>
        </is>
      </c>
      <c r="K54" s="25" t="inlineStr">
        <is>
          <t>MK-01 + MK-03</t>
        </is>
      </c>
      <c r="L54" s="25" t="inlineStr">
        <is>
          <t>ST-01</t>
        </is>
      </c>
      <c r="M54" s="26" t="inlineStr">
        <is>
          <t>Ensuite banyolu; gömme gardırop.</t>
        </is>
      </c>
    </row>
    <row r="55" ht="32" customHeight="1">
      <c r="A55" s="22" t="inlineStr">
        <is>
          <t>K-11</t>
        </is>
      </c>
      <c r="B55" s="23" t="inlineStr">
        <is>
          <t>Yatak odası 2 banyosu</t>
        </is>
      </c>
      <c r="C55" s="24" t="n">
        <v>7.6</v>
      </c>
      <c r="D55" s="25" t="inlineStr">
        <is>
          <t>DK-04</t>
        </is>
      </c>
      <c r="E55" s="25" t="inlineStr">
        <is>
          <t>SP-05</t>
        </is>
      </c>
      <c r="F55" s="25" t="inlineStr">
        <is>
          <t>DV-02</t>
        </is>
      </c>
      <c r="G55" s="25" t="inlineStr">
        <is>
          <t>TV-03</t>
        </is>
      </c>
      <c r="H55" s="25" t="inlineStr">
        <is>
          <t>KP-03</t>
        </is>
      </c>
      <c r="I55" s="25" t="inlineStr">
        <is>
          <t>DG-01</t>
        </is>
      </c>
      <c r="J55" s="25" t="inlineStr">
        <is>
          <t>EL-02</t>
        </is>
      </c>
      <c r="K55" s="25" t="inlineStr">
        <is>
          <t>MK-02 + MK-04</t>
        </is>
      </c>
      <c r="L55" s="25" t="inlineStr">
        <is>
          <t>ST-02</t>
        </is>
      </c>
      <c r="M55" s="26" t="inlineStr">
        <is>
          <t>Duş kabinli, gizli süzgeçli.</t>
        </is>
      </c>
    </row>
    <row r="56" ht="32" customHeight="1">
      <c r="A56" s="22" t="inlineStr">
        <is>
          <t>K-12</t>
        </is>
      </c>
      <c r="B56" s="23" t="inlineStr">
        <is>
          <t>Asansör ve tesisat şaftı</t>
        </is>
      </c>
      <c r="C56" s="24" t="n">
        <v>5</v>
      </c>
      <c r="D56" s="25" t="inlineStr">
        <is>
          <t>—</t>
        </is>
      </c>
      <c r="E56" s="25" t="inlineStr">
        <is>
          <t>—</t>
        </is>
      </c>
      <c r="F56" s="25" t="inlineStr">
        <is>
          <t>DV-06</t>
        </is>
      </c>
      <c r="G56" s="25" t="inlineStr">
        <is>
          <t>TV-05</t>
        </is>
      </c>
      <c r="H56" s="25" t="inlineStr">
        <is>
          <t>Asansör kabin kapısı</t>
        </is>
      </c>
      <c r="I56" s="25" t="inlineStr">
        <is>
          <t>DG-07</t>
        </is>
      </c>
      <c r="J56" s="25" t="inlineStr">
        <is>
          <t>EL-05</t>
        </is>
      </c>
      <c r="K56" s="25" t="inlineStr">
        <is>
          <t>MK-08</t>
        </is>
      </c>
      <c r="L56" s="25" t="inlineStr">
        <is>
          <t>ST-01</t>
        </is>
      </c>
      <c r="M56" s="26" t="inlineStr">
        <is>
          <t>Asansör kuyusu ve tesisat şaftı.</t>
        </is>
      </c>
    </row>
    <row r="57" ht="32" customHeight="1">
      <c r="A57" s="22" t="inlineStr">
        <is>
          <t>K-13</t>
        </is>
      </c>
      <c r="B57" s="23" t="inlineStr">
        <is>
          <t>Koridor</t>
        </is>
      </c>
      <c r="C57" s="24" t="n">
        <v>3.6</v>
      </c>
      <c r="D57" s="25" t="inlineStr">
        <is>
          <t>DK-02</t>
        </is>
      </c>
      <c r="E57" s="25" t="inlineStr">
        <is>
          <t>SP-02</t>
        </is>
      </c>
      <c r="F57" s="25" t="inlineStr">
        <is>
          <t>DV-01</t>
        </is>
      </c>
      <c r="G57" s="25" t="inlineStr">
        <is>
          <t>TV-01</t>
        </is>
      </c>
      <c r="H57" s="25" t="inlineStr">
        <is>
          <t>—</t>
        </is>
      </c>
      <c r="I57" s="25" t="inlineStr">
        <is>
          <t>DG-07</t>
        </is>
      </c>
      <c r="J57" s="25" t="inlineStr">
        <is>
          <t>EL-04</t>
        </is>
      </c>
      <c r="K57" s="25" t="inlineStr">
        <is>
          <t>MK-01</t>
        </is>
      </c>
      <c r="L57" s="25" t="inlineStr">
        <is>
          <t>ST-01</t>
        </is>
      </c>
      <c r="M57" s="26" t="inlineStr">
        <is>
          <t>Net genişlik 2,45 m; ortak banyo ve yatak odalarına erişim.</t>
        </is>
      </c>
    </row>
    <row r="58" ht="32" customHeight="1">
      <c r="A58" s="22" t="inlineStr">
        <is>
          <t>K-14</t>
        </is>
      </c>
      <c r="B58" s="23" t="inlineStr">
        <is>
          <t>Ortak banyo</t>
        </is>
      </c>
      <c r="C58" s="24" t="n">
        <v>8.9</v>
      </c>
      <c r="D58" s="25" t="inlineStr">
        <is>
          <t>DK-04</t>
        </is>
      </c>
      <c r="E58" s="25" t="inlineStr">
        <is>
          <t>SP-05</t>
        </is>
      </c>
      <c r="F58" s="25" t="inlineStr">
        <is>
          <t>DV-02</t>
        </is>
      </c>
      <c r="G58" s="25" t="inlineStr">
        <is>
          <t>TV-03</t>
        </is>
      </c>
      <c r="H58" s="25" t="inlineStr">
        <is>
          <t>KP-03</t>
        </is>
      </c>
      <c r="I58" s="25" t="inlineStr">
        <is>
          <t>DG-01</t>
        </is>
      </c>
      <c r="J58" s="25" t="inlineStr">
        <is>
          <t>EL-02</t>
        </is>
      </c>
      <c r="K58" s="25" t="inlineStr">
        <is>
          <t>MK-02 + MK-04</t>
        </is>
      </c>
      <c r="L58" s="25" t="inlineStr">
        <is>
          <t>ST-02</t>
        </is>
      </c>
      <c r="M58" s="26" t="inlineStr">
        <is>
          <t>Küvet + duş; çocuk kullanımına uygun armatür yüksekliği.</t>
        </is>
      </c>
    </row>
    <row r="59" ht="32" customHeight="1">
      <c r="A59" s="22" t="inlineStr">
        <is>
          <t>K-15</t>
        </is>
      </c>
      <c r="B59" s="23" t="inlineStr">
        <is>
          <t>Yatak odası 3</t>
        </is>
      </c>
      <c r="C59" s="24" t="n">
        <v>18.8</v>
      </c>
      <c r="D59" s="25" t="inlineStr">
        <is>
          <t>DK-03</t>
        </is>
      </c>
      <c r="E59" s="25" t="inlineStr">
        <is>
          <t>SP-01</t>
        </is>
      </c>
      <c r="F59" s="25" t="inlineStr">
        <is>
          <t>DV-01 + DV-04</t>
        </is>
      </c>
      <c r="G59" s="25" t="inlineStr">
        <is>
          <t>TV-01</t>
        </is>
      </c>
      <c r="H59" s="25" t="inlineStr">
        <is>
          <t>KP-02</t>
        </is>
      </c>
      <c r="I59" s="25" t="inlineStr">
        <is>
          <t>DG-01 + DG-05 + DG-06</t>
        </is>
      </c>
      <c r="J59" s="25" t="inlineStr">
        <is>
          <t>EL-01</t>
        </is>
      </c>
      <c r="K59" s="25" t="inlineStr">
        <is>
          <t>MK-01 + MK-03</t>
        </is>
      </c>
      <c r="L59" s="25" t="inlineStr">
        <is>
          <t>ST-01</t>
        </is>
      </c>
      <c r="M59" s="26" t="inlineStr">
        <is>
          <t>Giyinme odası ile birlikte kullanılır.</t>
        </is>
      </c>
    </row>
    <row r="60" ht="32" customHeight="1">
      <c r="A60" s="22" t="inlineStr">
        <is>
          <t>K-16</t>
        </is>
      </c>
      <c r="B60" s="23" t="inlineStr">
        <is>
          <t>Yatak odası 3 giyinme</t>
        </is>
      </c>
      <c r="C60" s="24" t="n">
        <v>8.5</v>
      </c>
      <c r="D60" s="25" t="inlineStr">
        <is>
          <t>DK-08</t>
        </is>
      </c>
      <c r="E60" s="25" t="inlineStr">
        <is>
          <t>SP-04</t>
        </is>
      </c>
      <c r="F60" s="25" t="inlineStr">
        <is>
          <t>DV-01</t>
        </is>
      </c>
      <c r="G60" s="25" t="inlineStr">
        <is>
          <t>TV-05</t>
        </is>
      </c>
      <c r="H60" s="25" t="inlineStr">
        <is>
          <t>KP-04</t>
        </is>
      </c>
      <c r="I60" s="25" t="inlineStr">
        <is>
          <t>DG-01</t>
        </is>
      </c>
      <c r="J60" s="25" t="inlineStr">
        <is>
          <t>EL-05</t>
        </is>
      </c>
      <c r="K60" s="25" t="inlineStr">
        <is>
          <t>MK-01 + MK-04</t>
        </is>
      </c>
      <c r="L60" s="25" t="inlineStr">
        <is>
          <t>ST-01</t>
        </is>
      </c>
      <c r="M60" s="26" t="inlineStr">
        <is>
          <t>Gömme dolap sistemi.</t>
        </is>
      </c>
    </row>
    <row r="61" ht="32" customHeight="1">
      <c r="A61" s="22" t="inlineStr">
        <is>
          <t>K-17</t>
        </is>
      </c>
      <c r="B61" s="23" t="inlineStr">
        <is>
          <t>Yatak odası 5</t>
        </is>
      </c>
      <c r="C61" s="24" t="n">
        <v>17.8</v>
      </c>
      <c r="D61" s="25" t="inlineStr">
        <is>
          <t>DK-03</t>
        </is>
      </c>
      <c r="E61" s="25" t="inlineStr">
        <is>
          <t>SP-01</t>
        </is>
      </c>
      <c r="F61" s="25" t="inlineStr">
        <is>
          <t>DV-01 + DV-04</t>
        </is>
      </c>
      <c r="G61" s="25" t="inlineStr">
        <is>
          <t>TV-01</t>
        </is>
      </c>
      <c r="H61" s="25" t="inlineStr">
        <is>
          <t>KP-02</t>
        </is>
      </c>
      <c r="I61" s="25" t="inlineStr">
        <is>
          <t>DG-01 + DG-05 + DG-06</t>
        </is>
      </c>
      <c r="J61" s="25" t="inlineStr">
        <is>
          <t>EL-01</t>
        </is>
      </c>
      <c r="K61" s="25" t="inlineStr">
        <is>
          <t>MK-01 + MK-03</t>
        </is>
      </c>
      <c r="L61" s="25" t="inlineStr">
        <is>
          <t>ST-01</t>
        </is>
      </c>
      <c r="M61" s="26" t="inlineStr">
        <is>
          <t>Gömme gardırop; çalışma masası için priz + data.</t>
        </is>
      </c>
    </row>
    <row r="62" ht="32" customHeight="1">
      <c r="A62" s="22" t="inlineStr">
        <is>
          <t>K-18</t>
        </is>
      </c>
      <c r="B62" s="23" t="inlineStr">
        <is>
          <t>Balkon 2</t>
        </is>
      </c>
      <c r="C62" s="24" t="n">
        <v>9</v>
      </c>
      <c r="D62" s="25" t="inlineStr">
        <is>
          <t>DK-05</t>
        </is>
      </c>
      <c r="E62" s="25" t="inlineStr">
        <is>
          <t>SP-02</t>
        </is>
      </c>
      <c r="F62" s="25" t="inlineStr">
        <is>
          <t>—</t>
        </is>
      </c>
      <c r="G62" s="25" t="inlineStr">
        <is>
          <t>TV-04</t>
        </is>
      </c>
      <c r="H62" s="25" t="inlineStr">
        <is>
          <t>—</t>
        </is>
      </c>
      <c r="I62" s="25" t="inlineStr">
        <is>
          <t>DG-02</t>
        </is>
      </c>
      <c r="J62" s="25" t="inlineStr">
        <is>
          <t>EL-06</t>
        </is>
      </c>
      <c r="K62" s="25" t="inlineStr">
        <is>
          <t>—</t>
        </is>
      </c>
      <c r="L62" s="25" t="inlineStr">
        <is>
          <t>ST-08</t>
        </is>
      </c>
      <c r="M62" s="26" t="inlineStr">
        <is>
          <t>Yatak odası 5'e açılan balkon; korkuluk h=110 cm, tırmanmaya elverişsiz.</t>
        </is>
      </c>
    </row>
    <row r="63">
      <c r="A63" s="27" t="n"/>
      <c r="B63" s="28" t="inlineStr">
        <is>
          <t>TOPLAM NET ALAN</t>
        </is>
      </c>
      <c r="C63" s="29">
        <f>SUM(C6,C7,C8,C9,C10,C11,C12,C13,C14,C15,C16,C17,C18,C19,C20,C21,C22,C23,C24,C25,C26,C28,C29,C30,C31,C32,C33,C34,C35,C36,C37,C38,C39,C40,C41,C42,C43,C45,C46,C47,C48,C49,C50,C51,C52,C53,C54,C55,C56,C57,C58,C59,C60,C61,C62)</f>
        <v/>
      </c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</row>
  </sheetData>
  <mergeCells count="5">
    <mergeCell ref="A44:M44"/>
    <mergeCell ref="A1:M1"/>
    <mergeCell ref="A5:M5"/>
    <mergeCell ref="A27:M27"/>
    <mergeCell ref="A2:M2"/>
  </mergeCells>
  <pageMargins left="0.3" right="0.3" top="0.4" bottom="0.4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74" customWidth="1" min="3" max="3"/>
    <col width="58" customWidth="1" min="4" max="4"/>
  </cols>
  <sheetData>
    <row r="1" ht="29.4" customHeight="1">
      <c r="A1" s="11" t="inlineStr">
        <is>
          <t>İMALAT TANIMLARI, ŞARTNAME VE MARKA SEÇİMLERİ</t>
        </is>
      </c>
    </row>
    <row r="3" ht="30" customHeight="1">
      <c r="A3" s="7" t="inlineStr">
        <is>
          <t>Kod</t>
        </is>
      </c>
      <c r="B3" s="7" t="inlineStr">
        <is>
          <t>İmalat</t>
        </is>
      </c>
      <c r="C3" s="7" t="inlineStr">
        <is>
          <t>Teknik tanım / şartname</t>
        </is>
      </c>
      <c r="D3" s="7" t="inlineStr">
        <is>
          <t>Marka / ürün seçimi (üst segment)</t>
        </is>
      </c>
    </row>
    <row r="4" ht="20" customHeight="1">
      <c r="A4" s="3" t="inlineStr">
        <is>
          <t>DÖŞEME KAPLAMASI</t>
        </is>
      </c>
    </row>
    <row r="5" ht="42" customHeight="1">
      <c r="A5" s="30" t="inlineStr">
        <is>
          <t>DK-01</t>
        </is>
      </c>
      <c r="B5" s="8" t="inlineStr">
        <is>
          <t>Porselen seramik 60×120</t>
        </is>
      </c>
      <c r="C5" s="9" t="inlineStr">
        <is>
          <t>Rektifiyeli 1. sınıf porselen 60×120 cm, 2 mm derz, C2TE sınıfı yapıştırıcı, silikonlu derz dolgusu; yerden ısıtmaya uygun.</t>
        </is>
      </c>
      <c r="D5" s="31" t="inlineStr">
        <is>
          <t>Seranit veya Kalebodur 60×120 rektifiye · yapıştırıcı Kalekim Ultrafleks · derz Kalekim Fuga Star</t>
        </is>
      </c>
    </row>
    <row r="6" ht="42" customHeight="1">
      <c r="A6" s="30" t="inlineStr">
        <is>
          <t>DK-02</t>
        </is>
      </c>
      <c r="B6" s="8" t="inlineStr">
        <is>
          <t>Doğal taş (traverten / mermer)</t>
        </is>
      </c>
      <c r="C6" s="9" t="inlineStr">
        <is>
          <t>60×60 veya 60×120 cm, 2 cm kalınlık, cilalı-mat; leke tutmaz emprenye uygulamalı.</t>
        </is>
      </c>
      <c r="D6" s="31" t="inlineStr">
        <is>
          <t>Temmer Marble veya Karmer traverten (Afyon/Burdur bej) · emprenye Akemi Nano Effect</t>
        </is>
      </c>
    </row>
    <row r="7" ht="42" customHeight="1">
      <c r="A7" s="30" t="inlineStr">
        <is>
          <t>DK-03</t>
        </is>
      </c>
      <c r="B7" s="8" t="inlineStr">
        <is>
          <t>Lamine meşe parke 14 mm</t>
        </is>
      </c>
      <c r="C7" s="9" t="inlineStr">
        <is>
          <t>Çok katmanlı lamine meşe, üst tabaka ≥3 mm, yağlı-mat yüzey, tam yapıştırmalı; yerden ısıtma uyumlu.</t>
        </is>
      </c>
      <c r="D7" s="31" t="inlineStr">
        <is>
          <t>Barlinek Pure veya Tarkett Heritage · yapıştırıcı Sika SikaBond-54 · su bazlı yağ Osmo</t>
        </is>
      </c>
    </row>
    <row r="8" ht="42" customHeight="1">
      <c r="A8" s="30" t="inlineStr">
        <is>
          <t>DK-04</t>
        </is>
      </c>
      <c r="B8" s="8" t="inlineStr">
        <is>
          <t>Anti-slip porselen (ıslak hacim)</t>
        </is>
      </c>
      <c r="C8" s="9" t="inlineStr">
        <is>
          <t>R10–R11 kaymaz porselen 60×60 cm, eğimli şap, gizli süzgeç, su yalıtımı üzerine.</t>
        </is>
      </c>
      <c r="D8" s="31" t="inlineStr">
        <is>
          <t>VitrA Nanoflex veya Seranit Riverstone R11 · süzgeç Geberit CleanLine veya ACO</t>
        </is>
      </c>
    </row>
    <row r="9" ht="42" customHeight="1">
      <c r="A9" s="30" t="inlineStr">
        <is>
          <t>DK-05</t>
        </is>
      </c>
      <c r="B9" s="8" t="inlineStr">
        <is>
          <t>Dış mekan doğal taş / porselen</t>
        </is>
      </c>
      <c r="C9" s="9" t="inlineStr">
        <is>
          <t>Don dayanımlı (≥20 çevrim), R11 kaymaz, 2 cm; drenajlı kot, açık derz.</t>
        </is>
      </c>
      <c r="D9" s="31" t="inlineStr">
        <is>
          <t>Seranit Outdoor 2 cm veya andezit (Ankara/Nevşehir) · kaide Fixing Plus</t>
        </is>
      </c>
    </row>
    <row r="10" ht="42" customHeight="1">
      <c r="A10" s="30" t="inlineStr">
        <is>
          <t>DK-06</t>
        </is>
      </c>
      <c r="B10" s="8" t="inlineStr">
        <is>
          <t>Epoksi kaplama</t>
        </is>
      </c>
      <c r="C10" s="9" t="inlineStr">
        <is>
          <t>3 mm çift bileşenli epoksi, anti-toz, araç yüküne dayanıklı, süzgece eğimli.</t>
        </is>
      </c>
      <c r="D10" s="31" t="inlineStr">
        <is>
          <t>Sika Sikafloor-264 veya BASF MasterTop 1200</t>
        </is>
      </c>
    </row>
    <row r="11" ht="42" customHeight="1">
      <c r="A11" s="30" t="inlineStr">
        <is>
          <t>DK-07</t>
        </is>
      </c>
      <c r="B11" s="8" t="inlineStr">
        <is>
          <t>LVT / kauçuk spor zemin</t>
        </is>
      </c>
      <c r="C11" s="9" t="inlineStr">
        <is>
          <t>4–5 mm click LVT, yüksek aşınma sınıfı; spor alanında 8 mm kauçuk şok emici alt katman.</t>
        </is>
      </c>
      <c r="D11" s="31" t="inlineStr">
        <is>
          <t>Tarkett iD Inspiration 55 · spor zemin Regupol Everroll</t>
        </is>
      </c>
    </row>
    <row r="12" ht="42" customHeight="1">
      <c r="A12" s="30" t="inlineStr">
        <is>
          <t>DK-08</t>
        </is>
      </c>
      <c r="B12" s="8" t="inlineStr">
        <is>
          <t>Şap üzeri seramik (depo)</t>
        </is>
      </c>
      <c r="C12" s="9" t="inlineStr">
        <is>
          <t>1. sınıf seramik 45×45 cm, düz derz; depo ve teknik hacimler.</t>
        </is>
      </c>
      <c r="D12" s="31" t="inlineStr">
        <is>
          <t>Kalebodur veya Ege Seramik</t>
        </is>
      </c>
    </row>
    <row r="14" ht="20" customHeight="1">
      <c r="A14" s="3" t="inlineStr">
        <is>
          <t>SÜPÜRGELİK</t>
        </is>
      </c>
    </row>
    <row r="15" ht="42" customHeight="1">
      <c r="A15" s="30" t="inlineStr">
        <is>
          <t>SP-01</t>
        </is>
      </c>
      <c r="B15" s="8" t="inlineStr">
        <is>
          <t>MDF lake süpürgelik h=10 cm</t>
        </is>
      </c>
      <c r="C15" s="9" t="inlineStr">
        <is>
          <t>Ham MDF üzeri akrilik lake, gizli montaj, akrilik mastik bitiş.</t>
        </is>
      </c>
      <c r="D15" s="31" t="inlineStr">
        <is>
          <t>Starwood/Kastamonu MDF gövde · lake AkzoNobel veya Marshall Akrilik</t>
        </is>
      </c>
    </row>
    <row r="16" ht="42" customHeight="1">
      <c r="A16" s="30" t="inlineStr">
        <is>
          <t>SP-02</t>
        </is>
      </c>
      <c r="B16" s="8" t="inlineStr">
        <is>
          <t>Taş süpürgelik h=8 cm</t>
        </is>
      </c>
      <c r="C16" s="9" t="inlineStr">
        <is>
          <t>Döşeme kaplamasıyla aynı taştan kesme, cilalı kenar.</t>
        </is>
      </c>
      <c r="D16" s="31" t="inlineStr">
        <is>
          <t>Döşeme taşı ile aynı parti (Temmer / Karmer)</t>
        </is>
      </c>
    </row>
    <row r="17" ht="42" customHeight="1">
      <c r="A17" s="30" t="inlineStr">
        <is>
          <t>SP-03</t>
        </is>
      </c>
      <c r="B17" s="8" t="inlineStr">
        <is>
          <t>Gizli alüminyum süpürgelik h=6 cm</t>
        </is>
      </c>
      <c r="C17" s="9" t="inlineStr">
        <is>
          <t>Sıva içine gömülü alüminyum profil, duvarla aynı düzlemde, gizli LED opsiyonlu.</t>
        </is>
      </c>
      <c r="D17" s="31" t="inlineStr">
        <is>
          <t>Asaş veya Sistem Alüminyum gizli süpürgelik profili</t>
        </is>
      </c>
    </row>
    <row r="18" ht="42" customHeight="1">
      <c r="A18" s="30" t="inlineStr">
        <is>
          <t>SP-04</t>
        </is>
      </c>
      <c r="B18" s="8" t="inlineStr">
        <is>
          <t>Seramik süpürgelik h=8 cm</t>
        </is>
      </c>
      <c r="C18" s="9" t="inlineStr">
        <is>
          <t>Döşeme seramiğinden kesme süpürgelik.</t>
        </is>
      </c>
      <c r="D18" s="31" t="inlineStr">
        <is>
          <t>Döşeme seramiği ile aynı parti</t>
        </is>
      </c>
    </row>
    <row r="19" ht="42" customHeight="1">
      <c r="A19" s="30" t="inlineStr">
        <is>
          <t>SP-05</t>
        </is>
      </c>
      <c r="B19" s="8" t="inlineStr">
        <is>
          <t>Süpürgelik yok</t>
        </is>
      </c>
      <c r="C19" s="9" t="inlineStr">
        <is>
          <t>Duvar kaplaması zemine kadar indiği için süpürgelik uygulanmaz.</t>
        </is>
      </c>
      <c r="D19" s="31" t="inlineStr">
        <is>
          <t>—</t>
        </is>
      </c>
    </row>
    <row r="21" ht="20" customHeight="1">
      <c r="A21" s="3" t="inlineStr">
        <is>
          <t>DUVAR</t>
        </is>
      </c>
    </row>
    <row r="22" ht="42" customHeight="1">
      <c r="A22" s="30" t="inlineStr">
        <is>
          <t>DV-01</t>
        </is>
      </c>
      <c r="B22" s="8" t="inlineStr">
        <is>
          <t>Alçı sıva + saten + mat boya</t>
        </is>
      </c>
      <c r="C22" s="9" t="inlineStr">
        <is>
          <t>Makine sıvası + saten alçı + astar + silikon esaslı yıkanabilir mat iç cephe boyası (2 kat).</t>
        </is>
      </c>
      <c r="D22" s="31" t="inlineStr">
        <is>
          <t>Sıva/saten Knauf veya Dalsan · boya Filli Boya Momento Kadife ya da Marshall Maestro</t>
        </is>
      </c>
    </row>
    <row r="23" ht="42" customHeight="1">
      <c r="A23" s="30" t="inlineStr">
        <is>
          <t>DV-02</t>
        </is>
      </c>
      <c r="B23" s="8" t="inlineStr">
        <is>
          <t>Porselen duvar kaplaması</t>
        </is>
      </c>
      <c r="C23" s="9" t="inlineStr">
        <is>
          <t>60×120 rektifiyeli porselen, su yalıtımı üzerine, küf önleyici derz, köşede alüminyum profil.</t>
        </is>
      </c>
      <c r="D23" s="31" t="inlineStr">
        <is>
          <t>Seranit / VitrA 60×120 · derz Kalekim Fuga Star Antibakteriyel</t>
        </is>
      </c>
    </row>
    <row r="24" ht="42" customHeight="1">
      <c r="A24" s="30" t="inlineStr">
        <is>
          <t>DV-03</t>
        </is>
      </c>
      <c r="B24" s="8" t="inlineStr">
        <is>
          <t>Doğal taş / mermer duvar kaplaması</t>
        </is>
      </c>
      <c r="C24" s="9" t="inlineStr">
        <is>
          <t>Kitap açılımı (book-match) mermer veya traverten panel; ebeveyn banyo ve salon TV duvarı.</t>
        </is>
      </c>
      <c r="D24" s="31" t="inlineStr">
        <is>
          <t>Temmer Marble book-match · montaj Kalekim Marbleflex</t>
        </is>
      </c>
    </row>
    <row r="25" ht="42" customHeight="1">
      <c r="A25" s="30" t="inlineStr">
        <is>
          <t>DV-04</t>
        </is>
      </c>
      <c r="B25" s="8" t="inlineStr">
        <is>
          <t>Dekoratif aksan duvar</t>
        </is>
      </c>
      <c r="C25" s="9" t="inlineStr">
        <is>
          <t>Duvar kağıdı, ahşap lamel panel veya mikro beton efekt; oda başına bir aksan duvar.</t>
        </is>
      </c>
      <c r="D25" s="31" t="inlineStr">
        <is>
          <t>AGT lamel panel veya Vescom duvar kaplaması · mikro beton Baumit</t>
        </is>
      </c>
    </row>
    <row r="26" ht="42" customHeight="1">
      <c r="A26" s="30" t="inlineStr">
        <is>
          <t>DV-05</t>
        </is>
      </c>
      <c r="B26" s="8" t="inlineStr">
        <is>
          <t>Su itici alçı levha + boya</t>
        </is>
      </c>
      <c r="C26" s="9" t="inlineStr">
        <is>
          <t>Nem dayanımlı (yeşil) alçı levha bölme, taşyünü dolgu, su itici macun + boya.</t>
        </is>
      </c>
      <c r="D26" s="31" t="inlineStr">
        <is>
          <t>Knauf Aquapanel / Dalsan Nem Levhası · boya Marshall Banyo-Mutfak</t>
        </is>
      </c>
    </row>
    <row r="27" ht="42" customHeight="1">
      <c r="A27" s="30" t="inlineStr">
        <is>
          <t>DV-06</t>
        </is>
      </c>
      <c r="B27" s="8" t="inlineStr">
        <is>
          <t>Brüt beton üzeri plastik boya</t>
        </is>
      </c>
      <c r="C27" s="9" t="inlineStr">
        <is>
          <t>Düzeltilmiş beton / kaba sıva üzeri astar + plastik boya.</t>
        </is>
      </c>
      <c r="D27" s="31" t="inlineStr">
        <is>
          <t>DYO veya Marshall plastik boya</t>
        </is>
      </c>
    </row>
    <row r="28" ht="42" customHeight="1">
      <c r="A28" s="30" t="inlineStr">
        <is>
          <t>DV-07</t>
        </is>
      </c>
      <c r="B28" s="8" t="inlineStr">
        <is>
          <t>Akustik duvar paneli</t>
        </is>
      </c>
      <c r="C28" s="9" t="inlineStr">
        <is>
          <t>Kumaş kaplı akustik panel veya delikli ahşap panel + taşyünü dolgu.</t>
        </is>
      </c>
      <c r="D28" s="31" t="inlineStr">
        <is>
          <t>Vicoustic veya Knauf Cleaneo · dolgu İzocam Taşyünü</t>
        </is>
      </c>
    </row>
    <row r="29" ht="42" customHeight="1">
      <c r="A29" s="30" t="inlineStr">
        <is>
          <t>DV-08</t>
        </is>
      </c>
      <c r="B29" s="8" t="inlineStr">
        <is>
          <t>Sauna iç kaplaması</t>
        </is>
      </c>
      <c r="C29" s="9" t="inlineStr">
        <is>
          <t>Kanada sediri veya ısıl işlem görmüş ladin lambri, reçine akıtmayan, ısıya dayanıklı.</t>
        </is>
      </c>
      <c r="D29" s="31" t="inlineStr">
        <is>
          <t>Harvia sedir paneli veya Lunawood ThermoWood</t>
        </is>
      </c>
    </row>
    <row r="31" ht="20" customHeight="1">
      <c r="A31" s="3" t="inlineStr">
        <is>
          <t>TAVAN</t>
        </is>
      </c>
    </row>
    <row r="32" ht="42" customHeight="1">
      <c r="A32" s="30" t="inlineStr">
        <is>
          <t>TV-01</t>
        </is>
      </c>
      <c r="B32" s="8" t="inlineStr">
        <is>
          <t>Asma tavan + gizli LED nişi</t>
        </is>
      </c>
      <c r="C32" s="9" t="inlineStr">
        <is>
          <t>Alçı levha asma tavan, saten + mat boya, çevre gizli LED nişi, spot delikleri, denetim kapağı.</t>
        </is>
      </c>
      <c r="D32" s="31" t="inlineStr">
        <is>
          <t>Knauf / Dalsan levha · armatür Lamp83 veya Osram · şerit LED Arlight</t>
        </is>
      </c>
    </row>
    <row r="33" ht="42" customHeight="1">
      <c r="A33" s="30" t="inlineStr">
        <is>
          <t>TV-02</t>
        </is>
      </c>
      <c r="B33" s="8" t="inlineStr">
        <is>
          <t>Alçı sıva + tavan boyası</t>
        </is>
      </c>
      <c r="C33" s="9" t="inlineStr">
        <is>
          <t>Beton tavan üzeri alçı sıva + saten + tavan boyası (2 kat), sarkıt ankrajı.</t>
        </is>
      </c>
      <c r="D33" s="31" t="inlineStr">
        <is>
          <t>Filli Boya Tavan · Dalsan saten</t>
        </is>
      </c>
    </row>
    <row r="34" ht="42" customHeight="1">
      <c r="A34" s="30" t="inlineStr">
        <is>
          <t>TV-03</t>
        </is>
      </c>
      <c r="B34" s="8" t="inlineStr">
        <is>
          <t>Nem dayanımlı asma tavan</t>
        </is>
      </c>
      <c r="C34" s="9" t="inlineStr">
        <is>
          <t>Nem dayanımlı alçı levha veya alüminyum kaset; aspiratör, spot ve denetim kapağı entegre.</t>
        </is>
      </c>
      <c r="D34" s="31" t="inlineStr">
        <is>
          <t>Dalsan yeşil levha veya Hunter Douglas alüminyum kaset</t>
        </is>
      </c>
    </row>
    <row r="35" ht="42" customHeight="1">
      <c r="A35" s="30" t="inlineStr">
        <is>
          <t>TV-04</t>
        </is>
      </c>
      <c r="B35" s="8" t="inlineStr">
        <is>
          <t>Ahşap lamel tavan kaplaması</t>
        </is>
      </c>
      <c r="C35" s="9" t="inlineStr">
        <is>
          <t>Ahşap veya ahşap görünümlü alüminyum lamel; kapalı veranda, teras ve balkon altı.</t>
        </is>
      </c>
      <c r="D35" s="31" t="inlineStr">
        <is>
          <t>Lunawood ThermoWood veya AGT dış cephe lameli</t>
        </is>
      </c>
    </row>
    <row r="36" ht="42" customHeight="1">
      <c r="A36" s="30" t="inlineStr">
        <is>
          <t>TV-05</t>
        </is>
      </c>
      <c r="B36" s="8" t="inlineStr">
        <is>
          <t>Boyalı brüt beton tavan</t>
        </is>
      </c>
      <c r="C36" s="9" t="inlineStr">
        <is>
          <t>Tesisat görünür, astar + plastik boya; garaj, teknik hacim ve depo.</t>
        </is>
      </c>
      <c r="D36" s="31" t="inlineStr">
        <is>
          <t>DYO plastik boya</t>
        </is>
      </c>
    </row>
    <row r="37" ht="42" customHeight="1">
      <c r="A37" s="30" t="inlineStr">
        <is>
          <t>TV-06</t>
        </is>
      </c>
      <c r="B37" s="8" t="inlineStr">
        <is>
          <t>Akustik asma tavan</t>
        </is>
      </c>
      <c r="C37" s="9" t="inlineStr">
        <is>
          <t>Delikli alçı levha / akustik kaset + taşyünü dolgu; ev sineması.</t>
        </is>
      </c>
      <c r="D37" s="31" t="inlineStr">
        <is>
          <t>Knauf Cleaneo Akustik · dolgu İzocam</t>
        </is>
      </c>
    </row>
    <row r="39" ht="20" customHeight="1">
      <c r="A39" s="3" t="inlineStr">
        <is>
          <t>KAPI</t>
        </is>
      </c>
    </row>
    <row r="40" ht="42" customHeight="1">
      <c r="A40" s="30" t="inlineStr">
        <is>
          <t>KP-01</t>
        </is>
      </c>
      <c r="B40" s="8" t="inlineStr">
        <is>
          <t>Villa giriş kapısı</t>
        </is>
      </c>
      <c r="C40" s="9" t="inlineStr">
        <is>
          <t>Çelik iskelet, dış cephe uyumlu kompozit/ahşap kaplama, 110×220 cm, ısı-ses yalıtımlı, akıllı kilit.</t>
        </is>
      </c>
      <c r="D40" s="31" t="inlineStr">
        <is>
          <t>Kale Çelik Kapı Villa serisi veya Sur Kapı · kilit Yale Linus ya da Kale Kilit Akıllı</t>
        </is>
      </c>
    </row>
    <row r="41" ht="42" customHeight="1">
      <c r="A41" s="30" t="inlineStr">
        <is>
          <t>KP-02</t>
        </is>
      </c>
      <c r="B41" s="8" t="inlineStr">
        <is>
          <t>Lake iç kapı 90×220</t>
        </is>
      </c>
      <c r="C41" s="9" t="inlineStr">
        <is>
          <t>Amerikan panel gövde üzeri akrilik lake, gizli menteşe, manyetik dil, MDF lake kasa ve pervaz.</t>
        </is>
      </c>
      <c r="D41" s="31" t="inlineStr">
        <is>
          <t>Özel üretim lake kapı · menteşe/kilit Häfele veya Hoppe · lake AkzoNobel</t>
        </is>
      </c>
    </row>
    <row r="42" ht="42" customHeight="1">
      <c r="A42" s="30" t="inlineStr">
        <is>
          <t>KP-03</t>
        </is>
      </c>
      <c r="B42" s="8" t="inlineStr">
        <is>
          <t>Islak hacim kapısı</t>
        </is>
      </c>
      <c r="C42" s="9" t="inlineStr">
        <is>
          <t>Nem dayanımlı gövde, alt havalandırma, paslanmaz aksesuar, iç kilit.</t>
        </is>
      </c>
      <c r="D42" s="31" t="inlineStr">
        <is>
          <t>Özel üretim nem dayanımlı kapı · aksesuar Häfele</t>
        </is>
      </c>
    </row>
    <row r="43" ht="42" customHeight="1">
      <c r="A43" s="30" t="inlineStr">
        <is>
          <t>KP-04</t>
        </is>
      </c>
      <c r="B43" s="8" t="inlineStr">
        <is>
          <t>Sürgülü / gizli kasa kapı</t>
        </is>
      </c>
      <c r="C43" s="9" t="inlineStr">
        <is>
          <t>Duvar içine gömülü ray sistemli sürgülü kapı.</t>
        </is>
      </c>
      <c r="D43" s="31" t="inlineStr">
        <is>
          <t>Eclisse veya Häfele Slido gizli kasa sistemi</t>
        </is>
      </c>
    </row>
    <row r="44" ht="42" customHeight="1">
      <c r="A44" s="30" t="inlineStr">
        <is>
          <t>KP-05</t>
        </is>
      </c>
      <c r="B44" s="8" t="inlineStr">
        <is>
          <t>Yangın kapısı EI30</t>
        </is>
      </c>
      <c r="C44" s="9" t="inlineStr">
        <is>
          <t>Kazan dairesi ve teknik hacim girişi, kendiliğinden kapanır, duman sızdırmaz fitilli, sertifikalı.</t>
        </is>
      </c>
      <c r="D44" s="31" t="inlineStr">
        <is>
          <t>Hörmann H3-D veya Kale EI30 sertifikalı yangın kapısı</t>
        </is>
      </c>
    </row>
    <row r="45" ht="42" customHeight="1">
      <c r="A45" s="30" t="inlineStr">
        <is>
          <t>KP-06</t>
        </is>
      </c>
      <c r="B45" s="8" t="inlineStr">
        <is>
          <t>Otomatik seksiyonel garaj kapısı</t>
        </is>
      </c>
      <c r="C45" s="9" t="inlineStr">
        <is>
          <t>Yalıtımlı panel, motorlu, uzaktan kumanda + akıllı ev entegrasyonu, fotosel güvenlik.</t>
        </is>
      </c>
      <c r="D45" s="31" t="inlineStr">
        <is>
          <t>Hörmann LPU 42 + ProMatic motor (alternatif: Sarıcalar)</t>
        </is>
      </c>
    </row>
    <row r="46" ht="42" customHeight="1">
      <c r="A46" s="30" t="inlineStr">
        <is>
          <t>KP-07</t>
        </is>
      </c>
      <c r="B46" s="8" t="inlineStr">
        <is>
          <t>Cam kapı / cam bölme</t>
        </is>
      </c>
      <c r="C46" s="9" t="inlineStr">
        <is>
          <t>8–10 mm temperli cam, alüminyum çerçeve veya çerçevesiz menteşe; sauna ve duş bölmeleri.</t>
        </is>
      </c>
      <c r="D46" s="31" t="inlineStr">
        <is>
          <t>Şişecam temperli cam · aksesuar Häfele veya Sarayli</t>
        </is>
      </c>
    </row>
    <row r="47" ht="42" customHeight="1">
      <c r="A47" s="30" t="inlineStr">
        <is>
          <t>KP-08</t>
        </is>
      </c>
      <c r="B47" s="8" t="inlineStr">
        <is>
          <t>Depo / teknik kapı</t>
        </is>
      </c>
      <c r="C47" s="9" t="inlineStr">
        <is>
          <t>Boyalı çelik veya laminat kapı, kilitli.</t>
        </is>
      </c>
      <c r="D47" s="31" t="inlineStr">
        <is>
          <t>Standart çelik kapı · kilit Kale Kilit</t>
        </is>
      </c>
    </row>
    <row r="49" ht="20" customHeight="1">
      <c r="A49" s="3" t="inlineStr">
        <is>
          <t>DOĞRAMA / PENCERE</t>
        </is>
      </c>
    </row>
    <row r="50" ht="42" customHeight="1">
      <c r="A50" s="30" t="inlineStr">
        <is>
          <t>DG-01</t>
        </is>
      </c>
      <c r="B50" s="8" t="inlineStr">
        <is>
          <t>Alüminyum pencere (ısı yalıtımlı)</t>
        </is>
      </c>
      <c r="C50" s="9" t="inlineStr">
        <is>
          <t>Poliamid bariyerli alüminyum profil, antrasit elektrostatik boya, 4+16Ar+4 Low-E ısıcam, çift açılım.</t>
        </is>
      </c>
      <c r="D50" s="31" t="inlineStr">
        <is>
          <t>Schüco AWS 75 veya Çuhadaroğlu / Asaş yalıtımlı seri · cam Şişecam Isıcam Konfor + argon</t>
        </is>
      </c>
    </row>
    <row r="51" ht="42" customHeight="1">
      <c r="A51" s="30" t="inlineStr">
        <is>
          <t>DG-02</t>
        </is>
      </c>
      <c r="B51" s="8" t="inlineStr">
        <is>
          <t>Lift &amp; slide sürme cam sistem</t>
        </is>
      </c>
      <c r="C51" s="9" t="inlineStr">
        <is>
          <t>Sürme kanatlı, geniş açıklıklı, alçak eşikli; salon-teras ve veranda geçişi.</t>
        </is>
      </c>
      <c r="D51" s="31" t="inlineStr">
        <is>
          <t>Schüco ASS 70 HI veya Çuhadaroğlu sürme sistem</t>
        </is>
      </c>
    </row>
    <row r="52" ht="42" customHeight="1">
      <c r="A52" s="30" t="inlineStr">
        <is>
          <t>DG-03</t>
        </is>
      </c>
      <c r="B52" s="8" t="inlineStr">
        <is>
          <t>Bodrum ışıklık penceresi</t>
        </is>
      </c>
      <c r="C52" s="9" t="inlineStr">
        <is>
          <t>Işıklığa bakan pencere, dıştan galvaniz ızgara/korkuluk, drenajlı ışıklık.</t>
        </is>
      </c>
      <c r="D52" s="31" t="inlineStr">
        <is>
          <t>Asaş alüminyum · ızgara galvaniz çelik (özel üretim)</t>
        </is>
      </c>
    </row>
    <row r="53" ht="42" customHeight="1">
      <c r="A53" s="30" t="inlineStr">
        <is>
          <t>DG-04</t>
        </is>
      </c>
      <c r="B53" s="8" t="inlineStr">
        <is>
          <t>Çatı penceresi</t>
        </is>
      </c>
      <c r="C53" s="9" t="inlineStr">
        <is>
          <t>Isıcamlı çatı penceresi, sineklik ve karartma perdesi.</t>
        </is>
      </c>
      <c r="D53" s="31" t="inlineStr">
        <is>
          <t>Velux GGU veya Fakro</t>
        </is>
      </c>
    </row>
    <row r="54" ht="42" customHeight="1">
      <c r="A54" s="30" t="inlineStr">
        <is>
          <t>DG-05</t>
        </is>
      </c>
      <c r="B54" s="8" t="inlineStr">
        <is>
          <t>Motorlu panjur / güneş kırıcı</t>
        </is>
      </c>
      <c r="C54" s="9" t="inlineStr">
        <is>
          <t>Alüminyum motorlu panjur veya dış jaluzi; yatak odaları ve güneybatı cephesi.</t>
        </is>
      </c>
      <c r="D54" s="31" t="inlineStr">
        <is>
          <t>Somfy motor + Asaş panjur kutusu</t>
        </is>
      </c>
    </row>
    <row r="55" ht="42" customHeight="1">
      <c r="A55" s="30" t="inlineStr">
        <is>
          <t>DG-06</t>
        </is>
      </c>
      <c r="B55" s="8" t="inlineStr">
        <is>
          <t>Sineklik</t>
        </is>
      </c>
      <c r="C55" s="9" t="inlineStr">
        <is>
          <t>Plise veya sürme sineklik, doğrama rengiyle aynı.</t>
        </is>
      </c>
      <c r="D55" s="31" t="inlineStr">
        <is>
          <t>Asaş veya Öztek plise sineklik</t>
        </is>
      </c>
    </row>
    <row r="56" ht="42" customHeight="1">
      <c r="A56" s="30" t="inlineStr">
        <is>
          <t>DG-07</t>
        </is>
      </c>
      <c r="B56" s="8" t="inlineStr">
        <is>
          <t>Doğrama yok</t>
        </is>
      </c>
      <c r="C56" s="9" t="inlineStr">
        <is>
          <t>Penceresiz mahal; mekanik havalandırma ile çözülür.</t>
        </is>
      </c>
      <c r="D56" s="31" t="inlineStr">
        <is>
          <t>—</t>
        </is>
      </c>
    </row>
    <row r="58" ht="20" customHeight="1">
      <c r="A58" s="3" t="inlineStr">
        <is>
          <t>ELEKTRİK</t>
        </is>
      </c>
    </row>
    <row r="59" ht="42" customHeight="1">
      <c r="A59" s="30" t="inlineStr">
        <is>
          <t>EL-01</t>
        </is>
      </c>
      <c r="B59" s="8" t="inlineStr">
        <is>
          <t>Standart oda tesisatı</t>
        </is>
      </c>
      <c r="C59" s="9" t="inlineStr">
        <is>
          <t>6 priz, 2 TV+data, komütatör/vaviyen anahtar, sarkıt + spot devresi, perde motoru beslemesi, duman dedektörü.</t>
        </is>
      </c>
      <c r="D59" s="31" t="inlineStr">
        <is>
          <t>Anahtar-priz Viko by Panasonic Novella veya Legrand Valena · kablo Öznur / Prysmian</t>
        </is>
      </c>
    </row>
    <row r="60" ht="42" customHeight="1">
      <c r="A60" s="30" t="inlineStr">
        <is>
          <t>EL-02</t>
        </is>
      </c>
      <c r="B60" s="8" t="inlineStr">
        <is>
          <t>Islak hacim tesisatı</t>
        </is>
      </c>
      <c r="C60" s="9" t="inlineStr">
        <is>
          <t>IP44 priz, ayna aydınlatma + ayna ısıtıcı beslemesi, havlupan beslemesi, aspiratör senkronu, kaçak akım koruma.</t>
        </is>
      </c>
      <c r="D60" s="31" t="inlineStr">
        <is>
          <t>Legrand Plexo IP44 · kaçak akım rölesi Schneider veya ABB</t>
        </is>
      </c>
    </row>
    <row r="61" ht="42" customHeight="1">
      <c r="A61" s="30" t="inlineStr">
        <is>
          <t>EL-03</t>
        </is>
      </c>
      <c r="B61" s="8" t="inlineStr">
        <is>
          <t>Mutfak tesisatı</t>
        </is>
      </c>
      <c r="C61" s="9" t="inlineStr">
        <is>
          <t>Ankastre fırın, ocak, bulaşık makinesi, davlumbaz ve buzdolabı için ayrı sigortalı hatlar; tezgah üstü 6 priz, gömme priz kutusu, tezgah altı LED.</t>
        </is>
      </c>
      <c r="D61" s="31" t="inlineStr">
        <is>
          <t>Schneider Unica · gömme priz Evoline Port · LED Osram</t>
        </is>
      </c>
    </row>
    <row r="62" ht="42" customHeight="1">
      <c r="A62" s="30" t="inlineStr">
        <is>
          <t>EL-04</t>
        </is>
      </c>
      <c r="B62" s="8" t="inlineStr">
        <is>
          <t>Salon / yaşam alanı tesisatı</t>
        </is>
      </c>
      <c r="C62" s="9" t="inlineStr">
        <is>
          <t>Senaryolu dimmerli aydınlatma, gizli LED nişi, TV için gömme kanal, 10 priz, data ve ses altyapısı.</t>
        </is>
      </c>
      <c r="D62" s="31" t="inlineStr">
        <is>
          <t>KNX: Jung / Gira veya Schneider KNX · kablosuz alternatif: Somfy TaHoma</t>
        </is>
      </c>
    </row>
    <row r="63" ht="42" customHeight="1">
      <c r="A63" s="30" t="inlineStr">
        <is>
          <t>EL-05</t>
        </is>
      </c>
      <c r="B63" s="8" t="inlineStr">
        <is>
          <t>Teknik hacim tesisatı</t>
        </is>
      </c>
      <c r="C63" s="9" t="inlineStr">
        <is>
          <t>Ana pano / kat panosu, seyyar priz, acil aydınlatma, kazan ve hidrofor beslemesi, IP54 armatür.</t>
        </is>
      </c>
      <c r="D63" s="31" t="inlineStr">
        <is>
          <t>Pano Schneider Prisma veya ABB · armatür Lamp83 IP54</t>
        </is>
      </c>
    </row>
    <row r="64" ht="42" customHeight="1">
      <c r="A64" s="30" t="inlineStr">
        <is>
          <t>EL-06</t>
        </is>
      </c>
      <c r="B64" s="8" t="inlineStr">
        <is>
          <t>Dış mekan tesisatı</t>
        </is>
      </c>
      <c r="C64" s="9" t="inlineStr">
        <is>
          <t>IP65 armatür, bahçe ve cephe aydınlatması, kapaklı dış priz, kamera ve otomatik kapı beslemesi.</t>
        </is>
      </c>
      <c r="D64" s="31" t="inlineStr">
        <is>
          <t>Lamp83 / Fumagalli IP65 · kamera Hikvision veya Dahua</t>
        </is>
      </c>
    </row>
    <row r="65" ht="42" customHeight="1">
      <c r="A65" s="30" t="inlineStr">
        <is>
          <t>EL-07</t>
        </is>
      </c>
      <c r="B65" s="8" t="inlineStr">
        <is>
          <t>Sinema / hobi tesisatı</t>
        </is>
      </c>
      <c r="C65" s="9" t="inlineStr">
        <is>
          <t>Projeksiyon ve perde beslemesi, 7.1 hoparlör kablolaması, gömme kanal, ışık senaryosu, ses yalıtımlı buat.</t>
        </is>
      </c>
      <c r="D65" s="31" t="inlineStr">
        <is>
          <t>Kablolama Belden / Klotz · kumanda KNX (Jung)</t>
        </is>
      </c>
    </row>
    <row r="66" ht="42" customHeight="1">
      <c r="A66" s="30" t="inlineStr">
        <is>
          <t>EL-08</t>
        </is>
      </c>
      <c r="B66" s="8" t="inlineStr">
        <is>
          <t>Garaj tesisatı</t>
        </is>
      </c>
      <c r="C66" s="9" t="inlineStr">
        <is>
          <t>IP54 armatür, garaj kapısı motor beslemesi, elektrikli araç şarjı için 3 faz 11 kW hat, kapaklı priz.</t>
        </is>
      </c>
      <c r="D66" s="31" t="inlineStr">
        <is>
          <t>Şarj ünitesi Vestel EVC04 veya ABB Terra AC · pano Schneider</t>
        </is>
      </c>
    </row>
    <row r="67" ht="42" customHeight="1">
      <c r="A67" s="30" t="inlineStr">
        <is>
          <t>EL-09</t>
        </is>
      </c>
      <c r="B67" s="8" t="inlineStr">
        <is>
          <t>Akıllı ev ana altyapısı</t>
        </is>
      </c>
      <c r="C67" s="9" t="inlineStr">
        <is>
          <t>KNX ana hat, zayıf akım panosu, CAT6 yıldız topoloji, IP kamera NVR, görüntülü diyafon, alarm paneli.</t>
        </is>
      </c>
      <c r="D67" s="31" t="inlineStr">
        <is>
          <t>KNX Jung/Gira · switch Ubiquiti UniFi · diyafon Comelit veya Multitek · alarm Paradox</t>
        </is>
      </c>
    </row>
    <row r="69" ht="20" customHeight="1">
      <c r="A69" s="3" t="inlineStr">
        <is>
          <t>MEKANİK</t>
        </is>
      </c>
    </row>
    <row r="70" ht="42" customHeight="1">
      <c r="A70" s="30" t="inlineStr">
        <is>
          <t>MK-01</t>
        </is>
      </c>
      <c r="B70" s="8" t="inlineStr">
        <is>
          <t>Yerden ısıtma</t>
        </is>
      </c>
      <c r="C70" s="9" t="inlineStr">
        <is>
          <t>Kollektörlü serpantin, ısı yalıtım levhası + şap, mahal bazlı oda termostatı (akıllı ev entegre).</t>
        </is>
      </c>
      <c r="D70" s="31" t="inlineStr">
        <is>
          <t>Boru Uponor Comfort Pipe veya Rehau Rautitan · kollektör Danfoss · termostat Honeywell Evohome</t>
        </is>
      </c>
    </row>
    <row r="71" ht="42" customHeight="1">
      <c r="A71" s="30" t="inlineStr">
        <is>
          <t>MK-02</t>
        </is>
      </c>
      <c r="B71" s="8" t="inlineStr">
        <is>
          <t>Yerden ısıtma + havlupan</t>
        </is>
      </c>
      <c r="C71" s="9" t="inlineStr">
        <is>
          <t>MK-01'e ek olarak havlupan radyatör (karışımlı veya elektrikli).</t>
        </is>
      </c>
      <c r="D71" s="31" t="inlineStr">
        <is>
          <t>Havlupan Zehnder veya Demirdöküm · vana Danfoss</t>
        </is>
      </c>
    </row>
    <row r="72" ht="42" customHeight="1">
      <c r="A72" s="30" t="inlineStr">
        <is>
          <t>MK-03</t>
        </is>
      </c>
      <c r="B72" s="8" t="inlineStr">
        <is>
          <t>VRF / multi-split iç ünite</t>
        </is>
      </c>
      <c r="C72" s="9" t="inlineStr">
        <is>
          <t>Gizli tavan tipi veya duvar tipi iç ünite, drenaj hattı, kablolu kumanda.</t>
        </is>
      </c>
      <c r="D72" s="31" t="inlineStr">
        <is>
          <t>Daikin VRV 5 veya Mitsubishi Electric City Multi (alternatif: Toshiba)</t>
        </is>
      </c>
    </row>
    <row r="73" ht="42" customHeight="1">
      <c r="A73" s="30" t="inlineStr">
        <is>
          <t>MK-04</t>
        </is>
      </c>
      <c r="B73" s="8" t="inlineStr">
        <is>
          <t>Mekanik havalandırma</t>
        </is>
      </c>
      <c r="C73" s="9" t="inlineStr">
        <is>
          <t>Kanal tipi sessiz aspiratör, çatıya/cepheye atış, anahtar veya nem sensörüyle otomatik.</t>
        </is>
      </c>
      <c r="D73" s="31" t="inlineStr">
        <is>
          <t>Vortice veya Systemair kanal tipi fan</t>
        </is>
      </c>
    </row>
    <row r="74" ht="42" customHeight="1">
      <c r="A74" s="30" t="inlineStr">
        <is>
          <t>MK-05</t>
        </is>
      </c>
      <c r="B74" s="8" t="inlineStr">
        <is>
          <t>Davlumbaz ve mutfak havalandırması</t>
        </is>
      </c>
      <c r="C74" s="9" t="inlineStr">
        <is>
          <t>Ankastre davlumbaz + paslanmaz kanalla çatıya atış, geri akış klapesi.</t>
        </is>
      </c>
      <c r="D74" s="31" t="inlineStr">
        <is>
          <t>Falmec veya Siemens iQ700 ada tipi davlumbaz</t>
        </is>
      </c>
    </row>
    <row r="75" ht="42" customHeight="1">
      <c r="A75" s="30" t="inlineStr">
        <is>
          <t>MK-06</t>
        </is>
      </c>
      <c r="B75" s="8" t="inlineStr">
        <is>
          <t>Kazan dairesi ekipmanı</t>
        </is>
      </c>
      <c r="C75" s="9" t="inlineStr">
        <is>
          <t>Yoğuşmalı kazan, 300 lt boyler, genleşme tankı, sirkülasyon pompaları, gaz dedektörü + selenoid vana, taze hava menfezi.</t>
        </is>
      </c>
      <c r="D75" s="31" t="inlineStr">
        <is>
          <t>Kazan Vaillant ecoTEC plus veya Buderus Logamax · boyler Vaillant uniSTOR · pompa Grundfos Alpha</t>
        </is>
      </c>
    </row>
    <row r="76" ht="42" customHeight="1">
      <c r="A76" s="30" t="inlineStr">
        <is>
          <t>MK-07</t>
        </is>
      </c>
      <c r="B76" s="8" t="inlineStr">
        <is>
          <t>Sauna ünitesi</t>
        </is>
      </c>
      <c r="C76" s="9" t="inlineStr">
        <is>
          <t>Elektrikli sauna sobası (hacme göre kW), kumanda paneli, hava giriş-çıkış menfezleri, ısıya dayanıklı armatür.</t>
        </is>
      </c>
      <c r="D76" s="31" t="inlineStr">
        <is>
          <t>Harvia Cilindro + Xenio kumanda (alternatif: Tylö)</t>
        </is>
      </c>
    </row>
    <row r="77" ht="42" customHeight="1">
      <c r="A77" s="30" t="inlineStr">
        <is>
          <t>MK-08</t>
        </is>
      </c>
      <c r="B77" s="8" t="inlineStr">
        <is>
          <t>Isıtma yok / temperli</t>
        </is>
      </c>
      <c r="C77" s="9" t="inlineStr">
        <is>
          <t>Isıtma tesisatı yapılmaz; komşu hacimden temperlenir. Donmaya karşı tesisat izolasyonu.</t>
        </is>
      </c>
      <c r="D77" s="31" t="inlineStr">
        <is>
          <t>—</t>
        </is>
      </c>
    </row>
    <row r="78" ht="42" customHeight="1">
      <c r="A78" s="30" t="inlineStr">
        <is>
          <t>MK-09</t>
        </is>
      </c>
      <c r="B78" s="8" t="inlineStr">
        <is>
          <t>Isı geri kazanımlı havalandırma (opsiyon)</t>
        </is>
      </c>
      <c r="C78" s="9" t="inlineStr">
        <is>
          <t>Merkezi ısı geri kazanım cihazı, kanal dağıtımı, F7 filtre.</t>
        </is>
      </c>
      <c r="D78" s="31" t="inlineStr">
        <is>
          <t>Systemair SAVE veya Zehnder ComfoAir</t>
        </is>
      </c>
    </row>
    <row r="80" ht="20" customHeight="1">
      <c r="A80" s="3" t="inlineStr">
        <is>
          <t>SIHHİ TESİSAT</t>
        </is>
      </c>
    </row>
    <row r="81" ht="42" customHeight="1">
      <c r="A81" s="30" t="inlineStr">
        <is>
          <t>ST-01</t>
        </is>
      </c>
      <c r="B81" s="8" t="inlineStr">
        <is>
          <t>Tesisat yok</t>
        </is>
      </c>
      <c r="C81" s="9" t="inlineStr">
        <is>
          <t>Su ve atık tesisatı bulunmaz.</t>
        </is>
      </c>
      <c r="D81" s="31" t="inlineStr">
        <is>
          <t>—</t>
        </is>
      </c>
    </row>
    <row r="82" ht="42" customHeight="1">
      <c r="A82" s="30" t="inlineStr">
        <is>
          <t>ST-02</t>
        </is>
      </c>
      <c r="B82" s="8" t="inlineStr">
        <is>
          <t>Banyo tam donanım</t>
        </is>
      </c>
      <c r="C82" s="9" t="inlineStr">
        <is>
          <t>Gömme rezervuarlı asma klozet, tezgah üstü lavabo, ankastre batarya, duş nişi + yağmurlama duş, gizli süzgeç, ara vanalar.</t>
        </is>
      </c>
      <c r="D82" s="31" t="inlineStr">
        <is>
          <t>VitrA Metropole veya Duravit ME · rezervuar Geberit Sigma · armatür Grohe Grohtherm / Hansgrohe</t>
        </is>
      </c>
    </row>
    <row r="83" ht="42" customHeight="1">
      <c r="A83" s="30" t="inlineStr">
        <is>
          <t>ST-03</t>
        </is>
      </c>
      <c r="B83" s="8" t="inlineStr">
        <is>
          <t>Ebeveyn banyo donanımı</t>
        </is>
      </c>
      <c r="C83" s="9" t="inlineStr">
        <is>
          <t>ST-02'ye ek: çift lavabo, ankastre termostatik batarya, serbest duran küvet, taharet/bide, havlupan bağlantısı.</t>
        </is>
      </c>
      <c r="D83" s="31" t="inlineStr">
        <is>
          <t>Duravit veya Villeroy&amp;Boch küvet · armatür Hansgrohe Axor · duş Grohe Rainshower 360</t>
        </is>
      </c>
    </row>
    <row r="84" ht="42" customHeight="1">
      <c r="A84" s="30" t="inlineStr">
        <is>
          <t>ST-04</t>
        </is>
      </c>
      <c r="B84" s="8" t="inlineStr">
        <is>
          <t>WC donanımı</t>
        </is>
      </c>
      <c r="C84" s="9" t="inlineStr">
        <is>
          <t>Asma klozet + gömme rezervuar, lavabo, ankastre batarya, taharet musluğu.</t>
        </is>
      </c>
      <c r="D84" s="31" t="inlineStr">
        <is>
          <t>VitrA / Roca · Geberit gömme rezervuar · Grohe armatür</t>
        </is>
      </c>
    </row>
    <row r="85" ht="42" customHeight="1">
      <c r="A85" s="30" t="inlineStr">
        <is>
          <t>ST-05</t>
        </is>
      </c>
      <c r="B85" s="8" t="inlineStr">
        <is>
          <t>Mutfak donanımı</t>
        </is>
      </c>
      <c r="C85" s="9" t="inlineStr">
        <is>
          <t>Granit veya paslanmaz eviye, ankastre batarya, bulaşık makinesi bağlantısı, su arıtma altyapısı, yağ tutucu sifon.</t>
        </is>
      </c>
      <c r="D85" s="31" t="inlineStr">
        <is>
          <t>Eviye Franke veya Blanco · batarya Grohe Minta · arıtma BWT</t>
        </is>
      </c>
    </row>
    <row r="86" ht="42" customHeight="1">
      <c r="A86" s="30" t="inlineStr">
        <is>
          <t>ST-06</t>
        </is>
      </c>
      <c r="B86" s="8" t="inlineStr">
        <is>
          <t>Çamaşırhane donanımı</t>
        </is>
      </c>
      <c r="C86" s="9" t="inlineStr">
        <is>
          <t>Çamaşır ve kurutma makinesi bağlantısı, ön yıkama eviyesi, yer süzgeci, taşma koruma sensörü.</t>
        </is>
      </c>
      <c r="D86" s="31" t="inlineStr">
        <is>
          <t>Eviye Franke · süzgeç ACO · su kaçak sensörü Netatmo veya Grohe Sense</t>
        </is>
      </c>
    </row>
    <row r="87" ht="42" customHeight="1">
      <c r="A87" s="30" t="inlineStr">
        <is>
          <t>ST-07</t>
        </is>
      </c>
      <c r="B87" s="8" t="inlineStr">
        <is>
          <t>Teknik / garaj tesisatı</t>
        </is>
      </c>
      <c r="C87" s="9" t="inlineStr">
        <is>
          <t>Yer süzgeci, bahçe tipi çeşme, hortum bağlantısı.</t>
        </is>
      </c>
      <c r="D87" s="31" t="inlineStr">
        <is>
          <t>Süzgeç ACO · armatür Artema</t>
        </is>
      </c>
    </row>
    <row r="88" ht="42" customHeight="1">
      <c r="A88" s="30" t="inlineStr">
        <is>
          <t>ST-08</t>
        </is>
      </c>
      <c r="B88" s="8" t="inlineStr">
        <is>
          <t>Dış mekan tesisatı</t>
        </is>
      </c>
      <c r="C88" s="9" t="inlineStr">
        <is>
          <t>Bahçe çeşmesi, otomatik sulama vanası, teras süzgeci ve yağmur suyu drenajı.</t>
        </is>
      </c>
      <c r="D88" s="31" t="inlineStr">
        <is>
          <t>Sulama Hunter veya Rain Bird · süzgeç ACO Self</t>
        </is>
      </c>
    </row>
  </sheetData>
  <mergeCells count="10">
    <mergeCell ref="A1:D1"/>
    <mergeCell ref="A80:D80"/>
    <mergeCell ref="A31:D31"/>
    <mergeCell ref="A58:D58"/>
    <mergeCell ref="A69:D69"/>
    <mergeCell ref="A4:D4"/>
    <mergeCell ref="A21:D21"/>
    <mergeCell ref="A39:D39"/>
    <mergeCell ref="A49:D49"/>
    <mergeCell ref="A14:D14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  <col width="14" customWidth="1" min="4" max="4"/>
    <col width="44" customWidth="1" min="5" max="5"/>
  </cols>
  <sheetData>
    <row r="1" ht="29.4" customHeight="1">
      <c r="A1" s="11" t="inlineStr">
        <is>
          <t>YÖNETMELİK UYGUNLUK KONTROLÜ</t>
        </is>
      </c>
    </row>
    <row r="3" ht="30" customHeight="1">
      <c r="A3" s="7" t="inlineStr">
        <is>
          <t>Konu</t>
        </is>
      </c>
      <c r="B3" s="7" t="inlineStr">
        <is>
          <t>Yönetmelik asgarisi</t>
        </is>
      </c>
      <c r="C3" s="7" t="inlineStr">
        <is>
          <t>Projede</t>
        </is>
      </c>
      <c r="D3" s="7" t="inlineStr">
        <is>
          <t>Durum</t>
        </is>
      </c>
      <c r="E3" s="7" t="inlineStr">
        <is>
          <t>Dayanak / açıklama</t>
        </is>
      </c>
    </row>
    <row r="4" ht="30" customHeight="1">
      <c r="A4" s="8" t="inlineStr">
        <is>
          <t>Taban alanı katsayısı (TAKS)</t>
        </is>
      </c>
      <c r="B4" s="9" t="inlineStr">
        <is>
          <t>≤ 0.30 (300 m²)</t>
        </is>
      </c>
      <c r="C4" s="9" t="inlineStr">
        <is>
          <t>0.30 (300 m²)</t>
        </is>
      </c>
      <c r="D4" s="32" t="inlineStr">
        <is>
          <t>UYGUN</t>
        </is>
      </c>
      <c r="E4" s="9" t="inlineStr">
        <is>
          <t>Oturum 20,00 × 15,00 m. Parsel bilgisi varsayımdır, imar durumu ile teyit edilmelidir.</t>
        </is>
      </c>
    </row>
    <row r="5" ht="30" customHeight="1">
      <c r="A5" s="8" t="inlineStr">
        <is>
          <t>Kat alanları katsayısı (KAKS/Emsal)</t>
        </is>
      </c>
      <c r="B5" s="9" t="inlineStr">
        <is>
          <t>≤ 0.60 (601 m²)</t>
        </is>
      </c>
      <c r="C5" s="9" t="inlineStr">
        <is>
          <t>0.60 (600 m²)</t>
        </is>
      </c>
      <c r="D5" s="32" t="inlineStr">
        <is>
          <t>UYGUN</t>
        </is>
      </c>
      <c r="E5" s="9" t="inlineStr">
        <is>
          <t>Zemin + 1. kat emsale dahil; bodrum ve çatı arası emsal dışı kabul edilmiştir (teyit gerekir).</t>
        </is>
      </c>
    </row>
    <row r="6" ht="30" customHeight="1">
      <c r="A6" s="8" t="inlineStr">
        <is>
          <t>Çekme mesafeleri</t>
        </is>
      </c>
      <c r="B6" s="9" t="inlineStr">
        <is>
          <t>ön 5,00 · yan 3,00 · arka 3,00 m</t>
        </is>
      </c>
      <c r="C6" s="9" t="inlineStr">
        <is>
          <t>ön 5.00 · yan 3.00 · arka 3.00 m</t>
        </is>
      </c>
      <c r="D6" s="32" t="inlineStr">
        <is>
          <t>UYGUN</t>
        </is>
      </c>
      <c r="E6" s="9" t="inlineStr">
        <is>
          <t>Planlı Alanlar İmar Yönetmeliği (PAİY) Md. 24 ve plan notları; vaziyet planında gösterilmiştir.</t>
        </is>
      </c>
    </row>
    <row r="7" ht="30" customHeight="1">
      <c r="A7" s="8" t="inlineStr">
        <is>
          <t>Oturma odası (asgari 1 adet)</t>
        </is>
      </c>
      <c r="B7" s="9" t="inlineStr">
        <is>
          <t>12,00 m² · dar kenar 3,00 m</t>
        </is>
      </c>
      <c r="C7" s="9" t="inlineStr">
        <is>
          <t>61.4 m² · dar kenar 7.35 m</t>
        </is>
      </c>
      <c r="D7" s="32" t="inlineStr">
        <is>
          <t>UYGUN</t>
        </is>
      </c>
      <c r="E7" s="9" t="inlineStr">
        <is>
          <t>Planlı Alanlar İmar Yönetmeliği (PAİY) Md. 29 — Z-01 Salon.</t>
        </is>
      </c>
    </row>
    <row r="8" ht="30" customHeight="1">
      <c r="A8" s="8" t="inlineStr">
        <is>
          <t>Yatak odası (en küçüğü)</t>
        </is>
      </c>
      <c r="B8" s="9" t="inlineStr">
        <is>
          <t>9,00 m² · dar kenar 2,50 m</t>
        </is>
      </c>
      <c r="C8" s="9" t="inlineStr">
        <is>
          <t>10.4 m² · dar kenar 2.85 m</t>
        </is>
      </c>
      <c r="D8" s="32" t="inlineStr">
        <is>
          <t>UYGUN</t>
        </is>
      </c>
      <c r="E8" s="9" t="inlineStr">
        <is>
          <t>Planlı Alanlar İmar Yönetmeliği (PAİY) Md. 29 — B-18 Hizmet / misafir odası. Projede 7 yatak odası var.</t>
        </is>
      </c>
    </row>
    <row r="9" ht="30" customHeight="1">
      <c r="A9" s="8" t="inlineStr">
        <is>
          <t>Mutfak</t>
        </is>
      </c>
      <c r="B9" s="9" t="inlineStr">
        <is>
          <t>3,30 m² · dar kenar 1,50 m</t>
        </is>
      </c>
      <c r="C9" s="9" t="inlineStr">
        <is>
          <t>20.2 m² · dar kenar 3.45 m</t>
        </is>
      </c>
      <c r="D9" s="32" t="inlineStr">
        <is>
          <t>UYGUN</t>
        </is>
      </c>
      <c r="E9" s="9" t="inlineStr">
        <is>
          <t>Planlı Alanlar İmar Yönetmeliği (PAİY) Md. 29 — Z-06 Mutfak (+ Z-07 kiler/arka mutfak).</t>
        </is>
      </c>
    </row>
    <row r="10" ht="30" customHeight="1">
      <c r="A10" s="8" t="inlineStr">
        <is>
          <t>Banyo / yıkanma yeri (en küçüğü)</t>
        </is>
      </c>
      <c r="B10" s="9" t="inlineStr">
        <is>
          <t>3,00 m² · dar kenar 1,50 m</t>
        </is>
      </c>
      <c r="C10" s="9" t="inlineStr">
        <is>
          <t>4.0 m² · dar kenar 1.65 m</t>
        </is>
      </c>
      <c r="D10" s="32" t="inlineStr">
        <is>
          <t>UYGUN</t>
        </is>
      </c>
      <c r="E10" s="9" t="inlineStr">
        <is>
          <t>Planlı Alanlar İmar Yönetmeliği (PAİY) Md. 29 — B-12 WC + duş. Projede 9 ıslak hacim var.</t>
        </is>
      </c>
    </row>
    <row r="11" ht="30" customHeight="1">
      <c r="A11" s="8" t="inlineStr">
        <is>
          <t>Tuvalet</t>
        </is>
      </c>
      <c r="B11" s="9" t="inlineStr">
        <is>
          <t>1,20 m² · dar kenar 1,00 m</t>
        </is>
      </c>
      <c r="C11" s="9" t="inlineStr">
        <is>
          <t>5.8 m² · dar kenar 2.35 m</t>
        </is>
      </c>
      <c r="D11" s="32" t="inlineStr">
        <is>
          <t>UYGUN</t>
        </is>
      </c>
      <c r="E11" s="9" t="inlineStr">
        <is>
          <t>Planlı Alanlar İmar Yönetmeliği (PAİY) Md. 29 — Z-08 Misafir WC.</t>
        </is>
      </c>
    </row>
    <row r="12" ht="30" customHeight="1">
      <c r="A12" s="8" t="inlineStr">
        <is>
          <t>Hol / koridor genişliği (en dar)</t>
        </is>
      </c>
      <c r="B12" s="9" t="inlineStr">
        <is>
          <t>1,20 m</t>
        </is>
      </c>
      <c r="C12" s="9" t="inlineStr">
        <is>
          <t>1.45 m</t>
        </is>
      </c>
      <c r="D12" s="32" t="inlineStr">
        <is>
          <t>UYGUN</t>
        </is>
      </c>
      <c r="E12" s="9" t="inlineStr">
        <is>
          <t>Planlı Alanlar İmar Yönetmeliği (PAİY) Md. 29 — B-13 Koridor.</t>
        </is>
      </c>
    </row>
    <row r="13" ht="30" customHeight="1">
      <c r="A13" s="8" t="inlineStr">
        <is>
          <t>Konut içi merdiven kol genişliği</t>
        </is>
      </c>
      <c r="B13" s="9" t="inlineStr">
        <is>
          <t>1,00 m (ortak merdivende 1,20 m)</t>
        </is>
      </c>
      <c r="C13" s="9" t="inlineStr">
        <is>
          <t>1,20 m</t>
        </is>
      </c>
      <c r="D13" s="32" t="inlineStr">
        <is>
          <t>UYGUN</t>
        </is>
      </c>
      <c r="E13" s="9" t="inlineStr">
        <is>
          <t>Planlı Alanlar İmar Yönetmeliği (PAİY) Md. 32. Merdiven kovası 3,40 × 5,60 m mahal içinde.</t>
        </is>
      </c>
    </row>
    <row r="14" ht="30" customHeight="1">
      <c r="A14" s="8" t="inlineStr">
        <is>
          <t>Merdiven rıht / basamak</t>
        </is>
      </c>
      <c r="B14" s="9" t="inlineStr">
        <is>
          <t>rıht ≤ 17,50 cm · basamak ≥ 26,0 cm</t>
        </is>
      </c>
      <c r="C14" s="9" t="inlineStr">
        <is>
          <t>rıht 17,1 cm (bodrum→zemin, 17 basamak) · 16,8 cm (zemin→1. kat, 19 basamak) · basamak 28,0 cm</t>
        </is>
      </c>
      <c r="D14" s="32" t="inlineStr">
        <is>
          <t>UYGUN</t>
        </is>
      </c>
      <c r="E14" s="9" t="inlineStr">
        <is>
          <t>Planlı Alanlar İmar Yönetmeliği (PAİY) Md. 32. Kat yüksekliklerinden hesaplanmıştır.</t>
        </is>
      </c>
    </row>
    <row r="15" ht="30" customHeight="1">
      <c r="A15" s="8" t="inlineStr">
        <is>
          <t>Net tavan yüksekliği</t>
        </is>
      </c>
      <c r="B15" s="9" t="inlineStr">
        <is>
          <t>2,40 m</t>
        </is>
      </c>
      <c r="C15" s="9" t="inlineStr">
        <is>
          <t>2.55 m (en düşük kat)</t>
        </is>
      </c>
      <c r="D15" s="32" t="inlineStr">
        <is>
          <t>UYGUN</t>
        </is>
      </c>
      <c r="E15" s="9" t="inlineStr">
        <is>
          <t>Kat yükseklikleri: Bodrum 2.90 m · Zemin 3.20 m · 1. Kat 3.10 m</t>
        </is>
      </c>
    </row>
    <row r="16" ht="30" customHeight="1">
      <c r="A16" s="8" t="inlineStr">
        <is>
          <t>Çatı arası iç yüksekliği</t>
        </is>
      </c>
      <c r="B16" s="9" t="inlineStr">
        <is>
          <t>2,40 m (kullanılabilir hacim için)</t>
        </is>
      </c>
      <c r="C16" s="9" t="inlineStr">
        <is>
          <t>mahyada 3,60 m</t>
        </is>
      </c>
      <c r="D16" s="32" t="inlineStr">
        <is>
          <t>UYGUN</t>
        </is>
      </c>
      <c r="E16" s="9" t="inlineStr">
        <is>
          <t>Çatı arası depo olarak kullanılacaktır; bağımsız bölüm değildir.</t>
        </is>
      </c>
    </row>
    <row r="17" ht="30" customHeight="1">
      <c r="A17" s="8" t="inlineStr">
        <is>
          <t>Korkuluk yüksekliği</t>
        </is>
      </c>
      <c r="B17" s="9" t="inlineStr">
        <is>
          <t>1,10 m</t>
        </is>
      </c>
      <c r="C17" s="9" t="inlineStr">
        <is>
          <t>1,10 m (balkon, teras, galeri, merdiven)</t>
        </is>
      </c>
      <c r="D17" s="32" t="inlineStr">
        <is>
          <t>UYGUN</t>
        </is>
      </c>
      <c r="E17" s="9" t="inlineStr">
        <is>
          <t>Temperli cam korkuluk; tırmanmaya elverişsiz tasarım.</t>
        </is>
      </c>
    </row>
    <row r="18" ht="30" customHeight="1">
      <c r="A18" s="8" t="inlineStr">
        <is>
          <t>Otopark</t>
        </is>
      </c>
      <c r="B18" s="9" t="inlineStr">
        <is>
          <t>Her bağımsız bölüm için en az 1 araçlık</t>
        </is>
      </c>
      <c r="C18" s="9" t="inlineStr">
        <is>
          <t>3 kapalı (garaj) + 2 açık = 5 araç</t>
        </is>
      </c>
      <c r="D18" s="32" t="inlineStr">
        <is>
          <t>UYGUN</t>
        </is>
      </c>
      <c r="E18" s="9" t="inlineStr">
        <is>
          <t>Otopark Yönetmeliği; kapalı garaj bodrum katta, rampa bahçe içinde.</t>
        </is>
      </c>
    </row>
    <row r="19" ht="30" customHeight="1">
      <c r="A19" s="8" t="inlineStr">
        <is>
          <t>Sığınak</t>
        </is>
      </c>
      <c r="B19" s="9" t="inlineStr">
        <is>
          <t>Bağımsız bölüm sayısına göre (tek konutta aranmaz)</t>
        </is>
      </c>
      <c r="C19" s="9" t="inlineStr">
        <is>
          <t>Bodrumda depo hacimleri ayrılmıştır</t>
        </is>
      </c>
      <c r="D19" s="33" t="inlineStr">
        <is>
          <t>KONTROL</t>
        </is>
      </c>
      <c r="E19" s="9" t="inlineStr">
        <is>
          <t>Sığınak Yönetmeliği kapsamı ilgili idareyle teyit edilmelidir.</t>
        </is>
      </c>
    </row>
    <row r="20" ht="30" customHeight="1">
      <c r="A20" s="8" t="inlineStr">
        <is>
          <t>Asansör</t>
        </is>
      </c>
      <c r="B20" s="9" t="inlineStr">
        <is>
          <t>Kat adedi 4'ten fazla binalarda zorunlu</t>
        </is>
      </c>
      <c r="C20" s="9" t="inlineStr">
        <is>
          <t>4 duraklı asansör (isteğe bağlı olarak) yapılmıştır</t>
        </is>
      </c>
      <c r="D20" s="32" t="inlineStr">
        <is>
          <t>UYGUN</t>
        </is>
      </c>
      <c r="E20" s="9" t="inlineStr">
        <is>
          <t>Planlı Alanlar İmar Yönetmeliği (PAİY) Md. 34. Kuyu 2,60 × 2,20 m, makine dairesiz.</t>
        </is>
      </c>
    </row>
    <row r="21" ht="30" customHeight="1">
      <c r="A21" s="8" t="inlineStr">
        <is>
          <t>Isı yalıtımı</t>
        </is>
      </c>
      <c r="B21" s="9" t="inlineStr">
        <is>
          <t>TS 825 — 3. iklim bölgesi (Konya)</t>
        </is>
      </c>
      <c r="C21" s="9" t="inlineStr">
        <is>
          <t>Dış duvar 8 cm XPS · çatı 14 cm taşyünü · döşeme 4 cm</t>
        </is>
      </c>
      <c r="D21" s="32" t="inlineStr">
        <is>
          <t>UYGUN</t>
        </is>
      </c>
      <c r="E21" s="9" t="inlineStr">
        <is>
          <t>Binalarda Enerji Performansı Yönetmeliği; enerji kimlik belgesi hesabı yapılacaktır.</t>
        </is>
      </c>
    </row>
    <row r="22" ht="30" customHeight="1">
      <c r="A22" s="8" t="inlineStr">
        <is>
          <t>Deprem tasarımı</t>
        </is>
      </c>
      <c r="B22" s="9" t="inlineStr">
        <is>
          <t>TBDY-2018</t>
        </is>
      </c>
      <c r="C22" s="9" t="inlineStr">
        <is>
          <t>Betonarme perde + çerçeve sistem, radye temel</t>
        </is>
      </c>
      <c r="D22" s="32" t="inlineStr">
        <is>
          <t>UYGUN</t>
        </is>
      </c>
      <c r="E22" s="9" t="inlineStr">
        <is>
          <t>Zemin etüdü raporuna göre zemin sınıfı ve tasarım spektrumu belirlenecektir.</t>
        </is>
      </c>
    </row>
    <row r="23" ht="30" customHeight="1">
      <c r="A23" s="8" t="inlineStr">
        <is>
          <t>Yangın güvenliği</t>
        </is>
      </c>
      <c r="B23" s="9" t="inlineStr">
        <is>
          <t>Binaların Yangından Korunması Hakkında Yönetmelik</t>
        </is>
      </c>
      <c r="C23" s="9" t="inlineStr">
        <is>
          <t>Kazan dairesi EI30 yangın kapısı · duman dedektörü · şaftlarda yangın durdurucu</t>
        </is>
      </c>
      <c r="D23" s="32" t="inlineStr">
        <is>
          <t>UYGUN</t>
        </is>
      </c>
      <c r="E23" s="9" t="inlineStr">
        <is>
          <t>Müstakil konut; kaçış merdiveni aranmaz.</t>
        </is>
      </c>
    </row>
    <row r="24" ht="30" customHeight="1">
      <c r="A24" s="8" t="inlineStr">
        <is>
          <t>Su yalıtımı</t>
        </is>
      </c>
      <c r="B24" s="9" t="inlineStr">
        <is>
          <t>TS 11344 / Su Yalıtımı Yönetmeliği</t>
        </is>
      </c>
      <c r="C24" s="9" t="inlineStr">
        <is>
          <t>Bodrum perde ve temelde çift kat membran + drenaj; ıslak hacimlerde 2K yalıtım</t>
        </is>
      </c>
      <c r="D24" s="32" t="inlineStr">
        <is>
          <t>UYGUN</t>
        </is>
      </c>
      <c r="E24" s="9" t="inlineStr">
        <is>
          <t>Yalıtım detayları uygulama projesinde çizilecektir.</t>
        </is>
      </c>
    </row>
  </sheetData>
  <mergeCells count="1">
    <mergeCell ref="A1:E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2026-09-19T12:05:55Z</dcterms:created>
  <dcterms:modified xmlns:dcterms="http://purl.org/dc/terms/" xmlns:xsi="http://www.w3.org/2001/XMLSchema-instance" xsi:type="dcterms:W3CDTF">2026-09-19T12:05:56Z</dcterms:modified>
</cp:coreProperties>
</file>